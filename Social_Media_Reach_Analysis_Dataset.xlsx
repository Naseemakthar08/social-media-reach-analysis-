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seem akthar\Documents\"/>
    </mc:Choice>
  </mc:AlternateContent>
  <xr:revisionPtr revIDLastSave="0" documentId="11_AE6ADAB879E0567E05082329E7F20C41682B64F2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Raw Data" sheetId="1" r:id="rId1"/>
    <sheet name="Dashboard" sheetId="2" r:id="rId2"/>
    <sheet name="Notes &amp; Assump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6" i="2"/>
  <c r="C6" i="2"/>
  <c r="B6" i="2"/>
  <c r="O684" i="1"/>
  <c r="M684" i="1"/>
  <c r="N684" i="1" s="1"/>
  <c r="O683" i="1"/>
  <c r="M683" i="1"/>
  <c r="N683" i="1" s="1"/>
  <c r="O682" i="1"/>
  <c r="M682" i="1"/>
  <c r="N682" i="1" s="1"/>
  <c r="O681" i="1"/>
  <c r="M681" i="1"/>
  <c r="N681" i="1" s="1"/>
  <c r="O680" i="1"/>
  <c r="N680" i="1"/>
  <c r="M680" i="1"/>
  <c r="O679" i="1"/>
  <c r="M679" i="1"/>
  <c r="N679" i="1" s="1"/>
  <c r="O678" i="1"/>
  <c r="M678" i="1"/>
  <c r="N678" i="1" s="1"/>
  <c r="O677" i="1"/>
  <c r="M677" i="1"/>
  <c r="N677" i="1" s="1"/>
  <c r="O676" i="1"/>
  <c r="N676" i="1"/>
  <c r="M676" i="1"/>
  <c r="O675" i="1"/>
  <c r="N675" i="1"/>
  <c r="M675" i="1"/>
  <c r="O674" i="1"/>
  <c r="M674" i="1"/>
  <c r="N674" i="1" s="1"/>
  <c r="O673" i="1"/>
  <c r="M673" i="1"/>
  <c r="N673" i="1" s="1"/>
  <c r="O672" i="1"/>
  <c r="M672" i="1"/>
  <c r="N672" i="1" s="1"/>
  <c r="O671" i="1"/>
  <c r="M671" i="1"/>
  <c r="N671" i="1" s="1"/>
  <c r="O670" i="1"/>
  <c r="M670" i="1"/>
  <c r="N670" i="1" s="1"/>
  <c r="O669" i="1"/>
  <c r="M669" i="1"/>
  <c r="N669" i="1" s="1"/>
  <c r="O668" i="1"/>
  <c r="M668" i="1"/>
  <c r="N668" i="1" s="1"/>
  <c r="O667" i="1"/>
  <c r="N667" i="1"/>
  <c r="M667" i="1"/>
  <c r="O666" i="1"/>
  <c r="M666" i="1"/>
  <c r="N666" i="1" s="1"/>
  <c r="O665" i="1"/>
  <c r="M665" i="1"/>
  <c r="N665" i="1" s="1"/>
  <c r="O664" i="1"/>
  <c r="N664" i="1"/>
  <c r="M664" i="1"/>
  <c r="O663" i="1"/>
  <c r="N663" i="1"/>
  <c r="M663" i="1"/>
  <c r="O662" i="1"/>
  <c r="N662" i="1"/>
  <c r="M662" i="1"/>
  <c r="O661" i="1"/>
  <c r="M661" i="1"/>
  <c r="N661" i="1" s="1"/>
  <c r="O660" i="1"/>
  <c r="N660" i="1"/>
  <c r="M660" i="1"/>
  <c r="O659" i="1"/>
  <c r="M659" i="1"/>
  <c r="N659" i="1" s="1"/>
  <c r="O658" i="1"/>
  <c r="M658" i="1"/>
  <c r="N658" i="1" s="1"/>
  <c r="O657" i="1"/>
  <c r="M657" i="1"/>
  <c r="N657" i="1" s="1"/>
  <c r="O656" i="1"/>
  <c r="M656" i="1"/>
  <c r="N656" i="1" s="1"/>
  <c r="O655" i="1"/>
  <c r="M655" i="1"/>
  <c r="N655" i="1" s="1"/>
  <c r="O654" i="1"/>
  <c r="N654" i="1"/>
  <c r="M654" i="1"/>
  <c r="O653" i="1"/>
  <c r="M653" i="1"/>
  <c r="N653" i="1" s="1"/>
  <c r="O652" i="1"/>
  <c r="M652" i="1"/>
  <c r="N652" i="1" s="1"/>
  <c r="O651" i="1"/>
  <c r="N651" i="1"/>
  <c r="M651" i="1"/>
  <c r="O650" i="1"/>
  <c r="N650" i="1"/>
  <c r="M650" i="1"/>
  <c r="O649" i="1"/>
  <c r="M649" i="1"/>
  <c r="N649" i="1" s="1"/>
  <c r="O648" i="1"/>
  <c r="M648" i="1"/>
  <c r="N648" i="1" s="1"/>
  <c r="O647" i="1"/>
  <c r="M647" i="1"/>
  <c r="N647" i="1" s="1"/>
  <c r="O646" i="1"/>
  <c r="M646" i="1"/>
  <c r="N646" i="1" s="1"/>
  <c r="O645" i="1"/>
  <c r="M645" i="1"/>
  <c r="N645" i="1" s="1"/>
  <c r="O644" i="1"/>
  <c r="M644" i="1"/>
  <c r="N644" i="1" s="1"/>
  <c r="O643" i="1"/>
  <c r="M643" i="1"/>
  <c r="N643" i="1" s="1"/>
  <c r="O642" i="1"/>
  <c r="M642" i="1"/>
  <c r="N642" i="1" s="1"/>
  <c r="O641" i="1"/>
  <c r="M641" i="1"/>
  <c r="N641" i="1" s="1"/>
  <c r="O640" i="1"/>
  <c r="N640" i="1"/>
  <c r="M640" i="1"/>
  <c r="O639" i="1"/>
  <c r="M639" i="1"/>
  <c r="N639" i="1" s="1"/>
  <c r="O638" i="1"/>
  <c r="N638" i="1"/>
  <c r="M638" i="1"/>
  <c r="O637" i="1"/>
  <c r="M637" i="1"/>
  <c r="N637" i="1" s="1"/>
  <c r="O636" i="1"/>
  <c r="M636" i="1"/>
  <c r="N636" i="1" s="1"/>
  <c r="O635" i="1"/>
  <c r="M635" i="1"/>
  <c r="N635" i="1" s="1"/>
  <c r="O634" i="1"/>
  <c r="N634" i="1"/>
  <c r="M634" i="1"/>
  <c r="O633" i="1"/>
  <c r="M633" i="1"/>
  <c r="N633" i="1" s="1"/>
  <c r="O632" i="1"/>
  <c r="N632" i="1"/>
  <c r="M632" i="1"/>
  <c r="O631" i="1"/>
  <c r="M631" i="1"/>
  <c r="N631" i="1" s="1"/>
  <c r="O630" i="1"/>
  <c r="M630" i="1"/>
  <c r="N630" i="1" s="1"/>
  <c r="O629" i="1"/>
  <c r="M629" i="1"/>
  <c r="N629" i="1" s="1"/>
  <c r="O628" i="1"/>
  <c r="N628" i="1"/>
  <c r="M628" i="1"/>
  <c r="O627" i="1"/>
  <c r="N627" i="1"/>
  <c r="M627" i="1"/>
  <c r="O626" i="1"/>
  <c r="M626" i="1"/>
  <c r="N626" i="1" s="1"/>
  <c r="O625" i="1"/>
  <c r="M625" i="1"/>
  <c r="N625" i="1" s="1"/>
  <c r="O624" i="1"/>
  <c r="M624" i="1"/>
  <c r="N624" i="1" s="1"/>
  <c r="O623" i="1"/>
  <c r="M623" i="1"/>
  <c r="N623" i="1" s="1"/>
  <c r="O622" i="1"/>
  <c r="M622" i="1"/>
  <c r="N622" i="1" s="1"/>
  <c r="O621" i="1"/>
  <c r="M621" i="1"/>
  <c r="N621" i="1" s="1"/>
  <c r="O620" i="1"/>
  <c r="M620" i="1"/>
  <c r="N620" i="1" s="1"/>
  <c r="O619" i="1"/>
  <c r="N619" i="1"/>
  <c r="M619" i="1"/>
  <c r="O618" i="1"/>
  <c r="M618" i="1"/>
  <c r="N618" i="1" s="1"/>
  <c r="O617" i="1"/>
  <c r="M617" i="1"/>
  <c r="N617" i="1" s="1"/>
  <c r="O616" i="1"/>
  <c r="N616" i="1"/>
  <c r="M616" i="1"/>
  <c r="O615" i="1"/>
  <c r="N615" i="1"/>
  <c r="M615" i="1"/>
  <c r="O614" i="1"/>
  <c r="N614" i="1"/>
  <c r="M614" i="1"/>
  <c r="O613" i="1"/>
  <c r="M613" i="1"/>
  <c r="N613" i="1" s="1"/>
  <c r="O612" i="1"/>
  <c r="M612" i="1"/>
  <c r="N612" i="1" s="1"/>
  <c r="O611" i="1"/>
  <c r="M611" i="1"/>
  <c r="N611" i="1" s="1"/>
  <c r="O610" i="1"/>
  <c r="M610" i="1"/>
  <c r="N610" i="1" s="1"/>
  <c r="O609" i="1"/>
  <c r="M609" i="1"/>
  <c r="N609" i="1" s="1"/>
  <c r="O608" i="1"/>
  <c r="M608" i="1"/>
  <c r="N608" i="1" s="1"/>
  <c r="O607" i="1"/>
  <c r="M607" i="1"/>
  <c r="N607" i="1" s="1"/>
  <c r="O606" i="1"/>
  <c r="N606" i="1"/>
  <c r="M606" i="1"/>
  <c r="O605" i="1"/>
  <c r="M605" i="1"/>
  <c r="N605" i="1" s="1"/>
  <c r="O604" i="1"/>
  <c r="M604" i="1"/>
  <c r="N604" i="1" s="1"/>
  <c r="O603" i="1"/>
  <c r="N603" i="1"/>
  <c r="M603" i="1"/>
  <c r="O602" i="1"/>
  <c r="N602" i="1"/>
  <c r="M602" i="1"/>
  <c r="O601" i="1"/>
  <c r="M601" i="1"/>
  <c r="N601" i="1" s="1"/>
  <c r="O600" i="1"/>
  <c r="M600" i="1"/>
  <c r="N600" i="1" s="1"/>
  <c r="O599" i="1"/>
  <c r="M599" i="1"/>
  <c r="N599" i="1" s="1"/>
  <c r="O598" i="1"/>
  <c r="M598" i="1"/>
  <c r="N598" i="1" s="1"/>
  <c r="O597" i="1"/>
  <c r="M597" i="1"/>
  <c r="N597" i="1" s="1"/>
  <c r="O596" i="1"/>
  <c r="M596" i="1"/>
  <c r="N596" i="1" s="1"/>
  <c r="O595" i="1"/>
  <c r="M595" i="1"/>
  <c r="N595" i="1" s="1"/>
  <c r="O594" i="1"/>
  <c r="M594" i="1"/>
  <c r="N594" i="1" s="1"/>
  <c r="O593" i="1"/>
  <c r="M593" i="1"/>
  <c r="N593" i="1" s="1"/>
  <c r="O592" i="1"/>
  <c r="N592" i="1"/>
  <c r="M592" i="1"/>
  <c r="O591" i="1"/>
  <c r="M591" i="1"/>
  <c r="N591" i="1" s="1"/>
  <c r="O590" i="1"/>
  <c r="N590" i="1"/>
  <c r="M590" i="1"/>
  <c r="O589" i="1"/>
  <c r="M589" i="1"/>
  <c r="N589" i="1" s="1"/>
  <c r="O588" i="1"/>
  <c r="M588" i="1"/>
  <c r="N588" i="1" s="1"/>
  <c r="O587" i="1"/>
  <c r="M587" i="1"/>
  <c r="N587" i="1" s="1"/>
  <c r="O586" i="1"/>
  <c r="N586" i="1"/>
  <c r="M586" i="1"/>
  <c r="O585" i="1"/>
  <c r="M585" i="1"/>
  <c r="N585" i="1" s="1"/>
  <c r="O584" i="1"/>
  <c r="M584" i="1"/>
  <c r="N584" i="1" s="1"/>
  <c r="O583" i="1"/>
  <c r="M583" i="1"/>
  <c r="N583" i="1" s="1"/>
  <c r="O582" i="1"/>
  <c r="M582" i="1"/>
  <c r="N582" i="1" s="1"/>
  <c r="O581" i="1"/>
  <c r="M581" i="1"/>
  <c r="N581" i="1" s="1"/>
  <c r="O580" i="1"/>
  <c r="N580" i="1"/>
  <c r="M580" i="1"/>
  <c r="O579" i="1"/>
  <c r="N579" i="1"/>
  <c r="M579" i="1"/>
  <c r="O578" i="1"/>
  <c r="M578" i="1"/>
  <c r="N578" i="1" s="1"/>
  <c r="O577" i="1"/>
  <c r="M577" i="1"/>
  <c r="N577" i="1" s="1"/>
  <c r="O576" i="1"/>
  <c r="M576" i="1"/>
  <c r="N576" i="1" s="1"/>
  <c r="O575" i="1"/>
  <c r="M575" i="1"/>
  <c r="N575" i="1" s="1"/>
  <c r="O574" i="1"/>
  <c r="M574" i="1"/>
  <c r="N574" i="1" s="1"/>
  <c r="O573" i="1"/>
  <c r="M573" i="1"/>
  <c r="N573" i="1" s="1"/>
  <c r="O572" i="1"/>
  <c r="M572" i="1"/>
  <c r="N572" i="1" s="1"/>
  <c r="O571" i="1"/>
  <c r="M571" i="1"/>
  <c r="N571" i="1" s="1"/>
  <c r="O570" i="1"/>
  <c r="M570" i="1"/>
  <c r="N570" i="1" s="1"/>
  <c r="O569" i="1"/>
  <c r="M569" i="1"/>
  <c r="N569" i="1" s="1"/>
  <c r="O568" i="1"/>
  <c r="N568" i="1"/>
  <c r="M568" i="1"/>
  <c r="O567" i="1"/>
  <c r="N567" i="1"/>
  <c r="M567" i="1"/>
  <c r="O566" i="1"/>
  <c r="N566" i="1"/>
  <c r="M566" i="1"/>
  <c r="O565" i="1"/>
  <c r="M565" i="1"/>
  <c r="N565" i="1" s="1"/>
  <c r="O564" i="1"/>
  <c r="M564" i="1"/>
  <c r="N564" i="1" s="1"/>
  <c r="O563" i="1"/>
  <c r="M563" i="1"/>
  <c r="N563" i="1" s="1"/>
  <c r="O562" i="1"/>
  <c r="M562" i="1"/>
  <c r="N562" i="1" s="1"/>
  <c r="O561" i="1"/>
  <c r="M561" i="1"/>
  <c r="N561" i="1" s="1"/>
  <c r="O560" i="1"/>
  <c r="M560" i="1"/>
  <c r="N560" i="1" s="1"/>
  <c r="O559" i="1"/>
  <c r="M559" i="1"/>
  <c r="N559" i="1" s="1"/>
  <c r="O558" i="1"/>
  <c r="M558" i="1"/>
  <c r="N558" i="1" s="1"/>
  <c r="O557" i="1"/>
  <c r="M557" i="1"/>
  <c r="N557" i="1" s="1"/>
  <c r="O556" i="1"/>
  <c r="M556" i="1"/>
  <c r="N556" i="1" s="1"/>
  <c r="O555" i="1"/>
  <c r="N555" i="1"/>
  <c r="M555" i="1"/>
  <c r="O554" i="1"/>
  <c r="N554" i="1"/>
  <c r="M554" i="1"/>
  <c r="O553" i="1"/>
  <c r="M553" i="1"/>
  <c r="N553" i="1" s="1"/>
  <c r="O552" i="1"/>
  <c r="M552" i="1"/>
  <c r="N552" i="1" s="1"/>
  <c r="O551" i="1"/>
  <c r="M551" i="1"/>
  <c r="N551" i="1" s="1"/>
  <c r="O550" i="1"/>
  <c r="M550" i="1"/>
  <c r="N550" i="1" s="1"/>
  <c r="O549" i="1"/>
  <c r="M549" i="1"/>
  <c r="N549" i="1" s="1"/>
  <c r="O548" i="1"/>
  <c r="M548" i="1"/>
  <c r="N548" i="1" s="1"/>
  <c r="O547" i="1"/>
  <c r="M547" i="1"/>
  <c r="N547" i="1" s="1"/>
  <c r="O546" i="1"/>
  <c r="M546" i="1"/>
  <c r="N546" i="1" s="1"/>
  <c r="O545" i="1"/>
  <c r="M545" i="1"/>
  <c r="N545" i="1" s="1"/>
  <c r="O544" i="1"/>
  <c r="N544" i="1"/>
  <c r="M544" i="1"/>
  <c r="O543" i="1"/>
  <c r="M543" i="1"/>
  <c r="N543" i="1" s="1"/>
  <c r="O542" i="1"/>
  <c r="N542" i="1"/>
  <c r="M542" i="1"/>
  <c r="O541" i="1"/>
  <c r="M541" i="1"/>
  <c r="N541" i="1" s="1"/>
  <c r="O540" i="1"/>
  <c r="M540" i="1"/>
  <c r="N540" i="1" s="1"/>
  <c r="O539" i="1"/>
  <c r="M539" i="1"/>
  <c r="N539" i="1" s="1"/>
  <c r="O538" i="1"/>
  <c r="N538" i="1"/>
  <c r="M538" i="1"/>
  <c r="O537" i="1"/>
  <c r="M537" i="1"/>
  <c r="N537" i="1" s="1"/>
  <c r="O536" i="1"/>
  <c r="M536" i="1"/>
  <c r="N536" i="1" s="1"/>
  <c r="O535" i="1"/>
  <c r="M535" i="1"/>
  <c r="N535" i="1" s="1"/>
  <c r="O534" i="1"/>
  <c r="M534" i="1"/>
  <c r="N534" i="1" s="1"/>
  <c r="O533" i="1"/>
  <c r="M533" i="1"/>
  <c r="N533" i="1" s="1"/>
  <c r="O532" i="1"/>
  <c r="N532" i="1"/>
  <c r="M532" i="1"/>
  <c r="O531" i="1"/>
  <c r="N531" i="1"/>
  <c r="M531" i="1"/>
  <c r="O530" i="1"/>
  <c r="M530" i="1"/>
  <c r="N530" i="1" s="1"/>
  <c r="O529" i="1"/>
  <c r="M529" i="1"/>
  <c r="N529" i="1" s="1"/>
  <c r="O528" i="1"/>
  <c r="M528" i="1"/>
  <c r="N528" i="1" s="1"/>
  <c r="O527" i="1"/>
  <c r="M527" i="1"/>
  <c r="N527" i="1" s="1"/>
  <c r="O526" i="1"/>
  <c r="M526" i="1"/>
  <c r="N526" i="1" s="1"/>
  <c r="O525" i="1"/>
  <c r="M525" i="1"/>
  <c r="N525" i="1" s="1"/>
  <c r="O524" i="1"/>
  <c r="M524" i="1"/>
  <c r="N524" i="1" s="1"/>
  <c r="O523" i="1"/>
  <c r="M523" i="1"/>
  <c r="N523" i="1" s="1"/>
  <c r="O522" i="1"/>
  <c r="M522" i="1"/>
  <c r="N522" i="1" s="1"/>
  <c r="O521" i="1"/>
  <c r="M521" i="1"/>
  <c r="N521" i="1" s="1"/>
  <c r="O520" i="1"/>
  <c r="N520" i="1"/>
  <c r="M520" i="1"/>
  <c r="O519" i="1"/>
  <c r="N519" i="1"/>
  <c r="M519" i="1"/>
  <c r="O518" i="1"/>
  <c r="N518" i="1"/>
  <c r="M518" i="1"/>
  <c r="O517" i="1"/>
  <c r="M517" i="1"/>
  <c r="N517" i="1" s="1"/>
  <c r="O516" i="1"/>
  <c r="M516" i="1"/>
  <c r="N516" i="1" s="1"/>
  <c r="O515" i="1"/>
  <c r="M515" i="1"/>
  <c r="N515" i="1" s="1"/>
  <c r="O514" i="1"/>
  <c r="M514" i="1"/>
  <c r="N514" i="1" s="1"/>
  <c r="O513" i="1"/>
  <c r="M513" i="1"/>
  <c r="N513" i="1" s="1"/>
  <c r="O512" i="1"/>
  <c r="M512" i="1"/>
  <c r="N512" i="1" s="1"/>
  <c r="O511" i="1"/>
  <c r="M511" i="1"/>
  <c r="N511" i="1" s="1"/>
  <c r="O510" i="1"/>
  <c r="M510" i="1"/>
  <c r="N510" i="1" s="1"/>
  <c r="O509" i="1"/>
  <c r="M509" i="1"/>
  <c r="N509" i="1" s="1"/>
  <c r="O508" i="1"/>
  <c r="M508" i="1"/>
  <c r="N508" i="1" s="1"/>
  <c r="O507" i="1"/>
  <c r="N507" i="1"/>
  <c r="M507" i="1"/>
  <c r="O506" i="1"/>
  <c r="N506" i="1"/>
  <c r="M506" i="1"/>
  <c r="O505" i="1"/>
  <c r="M505" i="1"/>
  <c r="N505" i="1" s="1"/>
  <c r="O504" i="1"/>
  <c r="M504" i="1"/>
  <c r="N504" i="1" s="1"/>
  <c r="O503" i="1"/>
  <c r="M503" i="1"/>
  <c r="N503" i="1" s="1"/>
  <c r="O502" i="1"/>
  <c r="M502" i="1"/>
  <c r="N502" i="1" s="1"/>
  <c r="O501" i="1"/>
  <c r="M501" i="1"/>
  <c r="N501" i="1" s="1"/>
  <c r="O500" i="1"/>
  <c r="M500" i="1"/>
  <c r="N500" i="1" s="1"/>
  <c r="O499" i="1"/>
  <c r="M499" i="1"/>
  <c r="N499" i="1" s="1"/>
  <c r="O498" i="1"/>
  <c r="M498" i="1"/>
  <c r="N498" i="1" s="1"/>
  <c r="O497" i="1"/>
  <c r="M497" i="1"/>
  <c r="N497" i="1" s="1"/>
  <c r="O496" i="1"/>
  <c r="N496" i="1"/>
  <c r="M496" i="1"/>
  <c r="O495" i="1"/>
  <c r="M495" i="1"/>
  <c r="N495" i="1" s="1"/>
  <c r="O494" i="1"/>
  <c r="N494" i="1"/>
  <c r="M494" i="1"/>
  <c r="O493" i="1"/>
  <c r="M493" i="1"/>
  <c r="N493" i="1" s="1"/>
  <c r="O492" i="1"/>
  <c r="M492" i="1"/>
  <c r="N492" i="1" s="1"/>
  <c r="O491" i="1"/>
  <c r="M491" i="1"/>
  <c r="N491" i="1" s="1"/>
  <c r="O490" i="1"/>
  <c r="M490" i="1"/>
  <c r="N490" i="1" s="1"/>
  <c r="O489" i="1"/>
  <c r="M489" i="1"/>
  <c r="N489" i="1" s="1"/>
  <c r="O488" i="1"/>
  <c r="M488" i="1"/>
  <c r="N488" i="1" s="1"/>
  <c r="O487" i="1"/>
  <c r="M487" i="1"/>
  <c r="N487" i="1" s="1"/>
  <c r="O486" i="1"/>
  <c r="M486" i="1"/>
  <c r="N486" i="1" s="1"/>
  <c r="O485" i="1"/>
  <c r="M485" i="1"/>
  <c r="N485" i="1" s="1"/>
  <c r="O484" i="1"/>
  <c r="N484" i="1"/>
  <c r="M484" i="1"/>
  <c r="O483" i="1"/>
  <c r="N483" i="1"/>
  <c r="M483" i="1"/>
  <c r="O482" i="1"/>
  <c r="M482" i="1"/>
  <c r="N482" i="1" s="1"/>
  <c r="O481" i="1"/>
  <c r="M481" i="1"/>
  <c r="N481" i="1" s="1"/>
  <c r="O480" i="1"/>
  <c r="M480" i="1"/>
  <c r="N480" i="1" s="1"/>
  <c r="O479" i="1"/>
  <c r="M479" i="1"/>
  <c r="N479" i="1" s="1"/>
  <c r="O478" i="1"/>
  <c r="M478" i="1"/>
  <c r="N478" i="1" s="1"/>
  <c r="O477" i="1"/>
  <c r="M477" i="1"/>
  <c r="N477" i="1" s="1"/>
  <c r="O476" i="1"/>
  <c r="M476" i="1"/>
  <c r="N476" i="1" s="1"/>
  <c r="O475" i="1"/>
  <c r="M475" i="1"/>
  <c r="N475" i="1" s="1"/>
  <c r="O474" i="1"/>
  <c r="M474" i="1"/>
  <c r="N474" i="1" s="1"/>
  <c r="O473" i="1"/>
  <c r="M473" i="1"/>
  <c r="N473" i="1" s="1"/>
  <c r="O472" i="1"/>
  <c r="N472" i="1"/>
  <c r="M472" i="1"/>
  <c r="O471" i="1"/>
  <c r="N471" i="1"/>
  <c r="M471" i="1"/>
  <c r="O470" i="1"/>
  <c r="N470" i="1"/>
  <c r="M470" i="1"/>
  <c r="O469" i="1"/>
  <c r="M469" i="1"/>
  <c r="N469" i="1" s="1"/>
  <c r="O468" i="1"/>
  <c r="M468" i="1"/>
  <c r="N468" i="1" s="1"/>
  <c r="O467" i="1"/>
  <c r="M467" i="1"/>
  <c r="N467" i="1" s="1"/>
  <c r="O466" i="1"/>
  <c r="M466" i="1"/>
  <c r="N466" i="1" s="1"/>
  <c r="O465" i="1"/>
  <c r="M465" i="1"/>
  <c r="N465" i="1" s="1"/>
  <c r="O464" i="1"/>
  <c r="M464" i="1"/>
  <c r="N464" i="1" s="1"/>
  <c r="O463" i="1"/>
  <c r="M463" i="1"/>
  <c r="N463" i="1" s="1"/>
  <c r="O462" i="1"/>
  <c r="M462" i="1"/>
  <c r="N462" i="1" s="1"/>
  <c r="O461" i="1"/>
  <c r="M461" i="1"/>
  <c r="N461" i="1" s="1"/>
  <c r="O460" i="1"/>
  <c r="M460" i="1"/>
  <c r="N460" i="1" s="1"/>
  <c r="O459" i="1"/>
  <c r="N459" i="1"/>
  <c r="M459" i="1"/>
  <c r="O458" i="1"/>
  <c r="N458" i="1"/>
  <c r="M458" i="1"/>
  <c r="O457" i="1"/>
  <c r="M457" i="1"/>
  <c r="N457" i="1" s="1"/>
  <c r="O456" i="1"/>
  <c r="M456" i="1"/>
  <c r="N456" i="1" s="1"/>
  <c r="O455" i="1"/>
  <c r="M455" i="1"/>
  <c r="N455" i="1" s="1"/>
  <c r="O454" i="1"/>
  <c r="M454" i="1"/>
  <c r="N454" i="1" s="1"/>
  <c r="O453" i="1"/>
  <c r="M453" i="1"/>
  <c r="N453" i="1" s="1"/>
  <c r="O452" i="1"/>
  <c r="M452" i="1"/>
  <c r="N452" i="1" s="1"/>
  <c r="O451" i="1"/>
  <c r="M451" i="1"/>
  <c r="N451" i="1" s="1"/>
  <c r="O450" i="1"/>
  <c r="M450" i="1"/>
  <c r="N450" i="1" s="1"/>
  <c r="O449" i="1"/>
  <c r="M449" i="1"/>
  <c r="N449" i="1" s="1"/>
  <c r="O448" i="1"/>
  <c r="N448" i="1"/>
  <c r="M448" i="1"/>
  <c r="O447" i="1"/>
  <c r="M447" i="1"/>
  <c r="N447" i="1" s="1"/>
  <c r="O446" i="1"/>
  <c r="N446" i="1"/>
  <c r="M446" i="1"/>
  <c r="O445" i="1"/>
  <c r="M445" i="1"/>
  <c r="N445" i="1" s="1"/>
  <c r="O444" i="1"/>
  <c r="M444" i="1"/>
  <c r="N444" i="1" s="1"/>
  <c r="O443" i="1"/>
  <c r="M443" i="1"/>
  <c r="N443" i="1" s="1"/>
  <c r="O442" i="1"/>
  <c r="M442" i="1"/>
  <c r="N442" i="1" s="1"/>
  <c r="O441" i="1"/>
  <c r="M441" i="1"/>
  <c r="N441" i="1" s="1"/>
  <c r="O440" i="1"/>
  <c r="M440" i="1"/>
  <c r="N440" i="1" s="1"/>
  <c r="O439" i="1"/>
  <c r="M439" i="1"/>
  <c r="N439" i="1" s="1"/>
  <c r="O438" i="1"/>
  <c r="M438" i="1"/>
  <c r="N438" i="1" s="1"/>
  <c r="O437" i="1"/>
  <c r="M437" i="1"/>
  <c r="N437" i="1" s="1"/>
  <c r="O436" i="1"/>
  <c r="N436" i="1"/>
  <c r="M436" i="1"/>
  <c r="O435" i="1"/>
  <c r="N435" i="1"/>
  <c r="M435" i="1"/>
  <c r="O434" i="1"/>
  <c r="M434" i="1"/>
  <c r="N434" i="1" s="1"/>
  <c r="O433" i="1"/>
  <c r="M433" i="1"/>
  <c r="N433" i="1" s="1"/>
  <c r="O432" i="1"/>
  <c r="M432" i="1"/>
  <c r="N432" i="1" s="1"/>
  <c r="O431" i="1"/>
  <c r="M431" i="1"/>
  <c r="N431" i="1" s="1"/>
  <c r="O430" i="1"/>
  <c r="M430" i="1"/>
  <c r="N430" i="1" s="1"/>
  <c r="O429" i="1"/>
  <c r="M429" i="1"/>
  <c r="N429" i="1" s="1"/>
  <c r="O428" i="1"/>
  <c r="M428" i="1"/>
  <c r="N428" i="1" s="1"/>
  <c r="O427" i="1"/>
  <c r="M427" i="1"/>
  <c r="N427" i="1" s="1"/>
  <c r="O426" i="1"/>
  <c r="M426" i="1"/>
  <c r="N426" i="1" s="1"/>
  <c r="O425" i="1"/>
  <c r="M425" i="1"/>
  <c r="N425" i="1" s="1"/>
  <c r="O424" i="1"/>
  <c r="N424" i="1"/>
  <c r="M424" i="1"/>
  <c r="O423" i="1"/>
  <c r="N423" i="1"/>
  <c r="M423" i="1"/>
  <c r="O422" i="1"/>
  <c r="N422" i="1"/>
  <c r="M422" i="1"/>
  <c r="O421" i="1"/>
  <c r="M421" i="1"/>
  <c r="N421" i="1" s="1"/>
  <c r="O420" i="1"/>
  <c r="M420" i="1"/>
  <c r="N420" i="1" s="1"/>
  <c r="O419" i="1"/>
  <c r="M419" i="1"/>
  <c r="N419" i="1" s="1"/>
  <c r="O418" i="1"/>
  <c r="M418" i="1"/>
  <c r="N418" i="1" s="1"/>
  <c r="O417" i="1"/>
  <c r="M417" i="1"/>
  <c r="N417" i="1" s="1"/>
  <c r="O416" i="1"/>
  <c r="M416" i="1"/>
  <c r="N416" i="1" s="1"/>
  <c r="O415" i="1"/>
  <c r="M415" i="1"/>
  <c r="N415" i="1" s="1"/>
  <c r="O414" i="1"/>
  <c r="M414" i="1"/>
  <c r="N414" i="1" s="1"/>
  <c r="O413" i="1"/>
  <c r="M413" i="1"/>
  <c r="N413" i="1" s="1"/>
  <c r="O412" i="1"/>
  <c r="M412" i="1"/>
  <c r="N412" i="1" s="1"/>
  <c r="O411" i="1"/>
  <c r="N411" i="1"/>
  <c r="M411" i="1"/>
  <c r="O410" i="1"/>
  <c r="N410" i="1"/>
  <c r="M410" i="1"/>
  <c r="O409" i="1"/>
  <c r="M409" i="1"/>
  <c r="N409" i="1" s="1"/>
  <c r="O408" i="1"/>
  <c r="M408" i="1"/>
  <c r="N408" i="1" s="1"/>
  <c r="O407" i="1"/>
  <c r="M407" i="1"/>
  <c r="N407" i="1" s="1"/>
  <c r="O406" i="1"/>
  <c r="M406" i="1"/>
  <c r="N406" i="1" s="1"/>
  <c r="O405" i="1"/>
  <c r="M405" i="1"/>
  <c r="N405" i="1" s="1"/>
  <c r="O404" i="1"/>
  <c r="M404" i="1"/>
  <c r="N404" i="1" s="1"/>
  <c r="O403" i="1"/>
  <c r="N403" i="1"/>
  <c r="M403" i="1"/>
  <c r="O402" i="1"/>
  <c r="M402" i="1"/>
  <c r="N402" i="1" s="1"/>
  <c r="O401" i="1"/>
  <c r="M401" i="1"/>
  <c r="N401" i="1" s="1"/>
  <c r="O400" i="1"/>
  <c r="N400" i="1"/>
  <c r="M400" i="1"/>
  <c r="O399" i="1"/>
  <c r="M399" i="1"/>
  <c r="N399" i="1" s="1"/>
  <c r="O398" i="1"/>
  <c r="N398" i="1"/>
  <c r="M398" i="1"/>
  <c r="O397" i="1"/>
  <c r="M397" i="1"/>
  <c r="N397" i="1" s="1"/>
  <c r="O396" i="1"/>
  <c r="M396" i="1"/>
  <c r="N396" i="1" s="1"/>
  <c r="O395" i="1"/>
  <c r="M395" i="1"/>
  <c r="N395" i="1" s="1"/>
  <c r="O394" i="1"/>
  <c r="M394" i="1"/>
  <c r="N394" i="1" s="1"/>
  <c r="O393" i="1"/>
  <c r="M393" i="1"/>
  <c r="N393" i="1" s="1"/>
  <c r="O392" i="1"/>
  <c r="M392" i="1"/>
  <c r="N392" i="1" s="1"/>
  <c r="O391" i="1"/>
  <c r="M391" i="1"/>
  <c r="N391" i="1" s="1"/>
  <c r="O390" i="1"/>
  <c r="M390" i="1"/>
  <c r="N390" i="1" s="1"/>
  <c r="O389" i="1"/>
  <c r="M389" i="1"/>
  <c r="N389" i="1" s="1"/>
  <c r="O388" i="1"/>
  <c r="N388" i="1"/>
  <c r="M388" i="1"/>
  <c r="O387" i="1"/>
  <c r="N387" i="1"/>
  <c r="M387" i="1"/>
  <c r="O386" i="1"/>
  <c r="M386" i="1"/>
  <c r="N386" i="1" s="1"/>
  <c r="O385" i="1"/>
  <c r="M385" i="1"/>
  <c r="N385" i="1" s="1"/>
  <c r="O384" i="1"/>
  <c r="M384" i="1"/>
  <c r="N384" i="1" s="1"/>
  <c r="O383" i="1"/>
  <c r="M383" i="1"/>
  <c r="N383" i="1" s="1"/>
  <c r="O382" i="1"/>
  <c r="M382" i="1"/>
  <c r="N382" i="1" s="1"/>
  <c r="O381" i="1"/>
  <c r="M381" i="1"/>
  <c r="N381" i="1" s="1"/>
  <c r="O380" i="1"/>
  <c r="M380" i="1"/>
  <c r="N380" i="1" s="1"/>
  <c r="O379" i="1"/>
  <c r="M379" i="1"/>
  <c r="N379" i="1" s="1"/>
  <c r="O378" i="1"/>
  <c r="M378" i="1"/>
  <c r="N378" i="1" s="1"/>
  <c r="O377" i="1"/>
  <c r="M377" i="1"/>
  <c r="N377" i="1" s="1"/>
  <c r="O376" i="1"/>
  <c r="N376" i="1"/>
  <c r="M376" i="1"/>
  <c r="O375" i="1"/>
  <c r="N375" i="1"/>
  <c r="M375" i="1"/>
  <c r="O374" i="1"/>
  <c r="N374" i="1"/>
  <c r="M374" i="1"/>
  <c r="O373" i="1"/>
  <c r="M373" i="1"/>
  <c r="N373" i="1" s="1"/>
  <c r="O372" i="1"/>
  <c r="N372" i="1"/>
  <c r="M372" i="1"/>
  <c r="O371" i="1"/>
  <c r="M371" i="1"/>
  <c r="N371" i="1" s="1"/>
  <c r="O370" i="1"/>
  <c r="M370" i="1"/>
  <c r="N370" i="1" s="1"/>
  <c r="O369" i="1"/>
  <c r="M369" i="1"/>
  <c r="N369" i="1" s="1"/>
  <c r="O368" i="1"/>
  <c r="M368" i="1"/>
  <c r="N368" i="1" s="1"/>
  <c r="O367" i="1"/>
  <c r="M367" i="1"/>
  <c r="N367" i="1" s="1"/>
  <c r="O366" i="1"/>
  <c r="M366" i="1"/>
  <c r="N366" i="1" s="1"/>
  <c r="O365" i="1"/>
  <c r="M365" i="1"/>
  <c r="N365" i="1" s="1"/>
  <c r="O364" i="1"/>
  <c r="M364" i="1"/>
  <c r="N364" i="1" s="1"/>
  <c r="O363" i="1"/>
  <c r="N363" i="1"/>
  <c r="M363" i="1"/>
  <c r="O362" i="1"/>
  <c r="N362" i="1"/>
  <c r="M362" i="1"/>
  <c r="O361" i="1"/>
  <c r="M361" i="1"/>
  <c r="N361" i="1" s="1"/>
  <c r="O360" i="1"/>
  <c r="M360" i="1"/>
  <c r="N360" i="1" s="1"/>
  <c r="O359" i="1"/>
  <c r="M359" i="1"/>
  <c r="N359" i="1" s="1"/>
  <c r="O358" i="1"/>
  <c r="M358" i="1"/>
  <c r="N358" i="1" s="1"/>
  <c r="O357" i="1"/>
  <c r="M357" i="1"/>
  <c r="N357" i="1" s="1"/>
  <c r="O356" i="1"/>
  <c r="M356" i="1"/>
  <c r="N356" i="1" s="1"/>
  <c r="O355" i="1"/>
  <c r="M355" i="1"/>
  <c r="N355" i="1" s="1"/>
  <c r="O354" i="1"/>
  <c r="M354" i="1"/>
  <c r="N354" i="1" s="1"/>
  <c r="O353" i="1"/>
  <c r="M353" i="1"/>
  <c r="N353" i="1" s="1"/>
  <c r="O352" i="1"/>
  <c r="N352" i="1"/>
  <c r="M352" i="1"/>
  <c r="O351" i="1"/>
  <c r="M351" i="1"/>
  <c r="N351" i="1" s="1"/>
  <c r="O350" i="1"/>
  <c r="N350" i="1"/>
  <c r="M350" i="1"/>
  <c r="O349" i="1"/>
  <c r="N349" i="1"/>
  <c r="M349" i="1"/>
  <c r="O348" i="1"/>
  <c r="N348" i="1"/>
  <c r="M348" i="1"/>
  <c r="O347" i="1"/>
  <c r="M347" i="1"/>
  <c r="N347" i="1" s="1"/>
  <c r="O346" i="1"/>
  <c r="N346" i="1"/>
  <c r="M346" i="1"/>
  <c r="O345" i="1"/>
  <c r="N345" i="1"/>
  <c r="M345" i="1"/>
  <c r="O344" i="1"/>
  <c r="N344" i="1"/>
  <c r="M344" i="1"/>
  <c r="O343" i="1"/>
  <c r="M343" i="1"/>
  <c r="N343" i="1" s="1"/>
  <c r="O342" i="1"/>
  <c r="N342" i="1"/>
  <c r="M342" i="1"/>
  <c r="O341" i="1"/>
  <c r="N341" i="1"/>
  <c r="M341" i="1"/>
  <c r="O340" i="1"/>
  <c r="N340" i="1"/>
  <c r="M340" i="1"/>
  <c r="O339" i="1"/>
  <c r="M339" i="1"/>
  <c r="N339" i="1" s="1"/>
  <c r="O338" i="1"/>
  <c r="N338" i="1"/>
  <c r="M338" i="1"/>
  <c r="O337" i="1"/>
  <c r="N337" i="1"/>
  <c r="M337" i="1"/>
  <c r="O336" i="1"/>
  <c r="N336" i="1"/>
  <c r="M336" i="1"/>
  <c r="O335" i="1"/>
  <c r="M335" i="1"/>
  <c r="N335" i="1" s="1"/>
  <c r="O334" i="1"/>
  <c r="N334" i="1"/>
  <c r="M334" i="1"/>
  <c r="O333" i="1"/>
  <c r="N333" i="1"/>
  <c r="M333" i="1"/>
  <c r="O332" i="1"/>
  <c r="N332" i="1"/>
  <c r="M332" i="1"/>
  <c r="O331" i="1"/>
  <c r="M331" i="1"/>
  <c r="N331" i="1" s="1"/>
  <c r="O330" i="1"/>
  <c r="N330" i="1"/>
  <c r="M330" i="1"/>
  <c r="O329" i="1"/>
  <c r="N329" i="1"/>
  <c r="M329" i="1"/>
  <c r="O328" i="1"/>
  <c r="N328" i="1"/>
  <c r="M328" i="1"/>
  <c r="O327" i="1"/>
  <c r="M327" i="1"/>
  <c r="N327" i="1" s="1"/>
  <c r="O326" i="1"/>
  <c r="N326" i="1"/>
  <c r="M326" i="1"/>
  <c r="O325" i="1"/>
  <c r="N325" i="1"/>
  <c r="M325" i="1"/>
  <c r="O324" i="1"/>
  <c r="N324" i="1"/>
  <c r="M324" i="1"/>
  <c r="O323" i="1"/>
  <c r="M323" i="1"/>
  <c r="N323" i="1" s="1"/>
  <c r="O322" i="1"/>
  <c r="N322" i="1"/>
  <c r="M322" i="1"/>
  <c r="O321" i="1"/>
  <c r="N321" i="1"/>
  <c r="M321" i="1"/>
  <c r="O320" i="1"/>
  <c r="N320" i="1"/>
  <c r="M320" i="1"/>
  <c r="O319" i="1"/>
  <c r="M319" i="1"/>
  <c r="N319" i="1" s="1"/>
  <c r="O318" i="1"/>
  <c r="N318" i="1"/>
  <c r="M318" i="1"/>
  <c r="O317" i="1"/>
  <c r="N317" i="1"/>
  <c r="M317" i="1"/>
  <c r="O316" i="1"/>
  <c r="N316" i="1"/>
  <c r="M316" i="1"/>
  <c r="O315" i="1"/>
  <c r="M315" i="1"/>
  <c r="N315" i="1" s="1"/>
  <c r="O314" i="1"/>
  <c r="N314" i="1"/>
  <c r="M314" i="1"/>
  <c r="O313" i="1"/>
  <c r="N313" i="1"/>
  <c r="M313" i="1"/>
  <c r="O312" i="1"/>
  <c r="N312" i="1"/>
  <c r="M312" i="1"/>
  <c r="O311" i="1"/>
  <c r="M311" i="1"/>
  <c r="N311" i="1" s="1"/>
  <c r="O310" i="1"/>
  <c r="N310" i="1"/>
  <c r="M310" i="1"/>
  <c r="O309" i="1"/>
  <c r="N309" i="1"/>
  <c r="M309" i="1"/>
  <c r="O308" i="1"/>
  <c r="N308" i="1"/>
  <c r="M308" i="1"/>
  <c r="O307" i="1"/>
  <c r="M307" i="1"/>
  <c r="N307" i="1" s="1"/>
  <c r="O306" i="1"/>
  <c r="N306" i="1"/>
  <c r="M306" i="1"/>
  <c r="O305" i="1"/>
  <c r="N305" i="1"/>
  <c r="M305" i="1"/>
  <c r="O304" i="1"/>
  <c r="N304" i="1"/>
  <c r="M304" i="1"/>
  <c r="O303" i="1"/>
  <c r="M303" i="1"/>
  <c r="N303" i="1" s="1"/>
  <c r="O302" i="1"/>
  <c r="N302" i="1"/>
  <c r="M302" i="1"/>
  <c r="O301" i="1"/>
  <c r="N301" i="1"/>
  <c r="M301" i="1"/>
  <c r="O300" i="1"/>
  <c r="N300" i="1"/>
  <c r="M300" i="1"/>
  <c r="O299" i="1"/>
  <c r="M299" i="1"/>
  <c r="N299" i="1" s="1"/>
  <c r="O298" i="1"/>
  <c r="N298" i="1"/>
  <c r="M298" i="1"/>
  <c r="O297" i="1"/>
  <c r="N297" i="1"/>
  <c r="M297" i="1"/>
  <c r="O296" i="1"/>
  <c r="N296" i="1"/>
  <c r="M296" i="1"/>
  <c r="O295" i="1"/>
  <c r="M295" i="1"/>
  <c r="N295" i="1" s="1"/>
  <c r="O294" i="1"/>
  <c r="N294" i="1"/>
  <c r="M294" i="1"/>
  <c r="O293" i="1"/>
  <c r="N293" i="1"/>
  <c r="M293" i="1"/>
  <c r="O292" i="1"/>
  <c r="N292" i="1"/>
  <c r="M292" i="1"/>
  <c r="O291" i="1"/>
  <c r="M291" i="1"/>
  <c r="N291" i="1" s="1"/>
  <c r="O290" i="1"/>
  <c r="N290" i="1"/>
  <c r="M290" i="1"/>
  <c r="O289" i="1"/>
  <c r="N289" i="1"/>
  <c r="M289" i="1"/>
  <c r="O288" i="1"/>
  <c r="N288" i="1"/>
  <c r="M288" i="1"/>
  <c r="O287" i="1"/>
  <c r="M287" i="1"/>
  <c r="N287" i="1" s="1"/>
  <c r="O286" i="1"/>
  <c r="N286" i="1"/>
  <c r="M286" i="1"/>
  <c r="O285" i="1"/>
  <c r="N285" i="1"/>
  <c r="M285" i="1"/>
  <c r="O284" i="1"/>
  <c r="N284" i="1"/>
  <c r="M284" i="1"/>
  <c r="O283" i="1"/>
  <c r="M283" i="1"/>
  <c r="N283" i="1" s="1"/>
  <c r="O282" i="1"/>
  <c r="N282" i="1"/>
  <c r="M282" i="1"/>
  <c r="O281" i="1"/>
  <c r="N281" i="1"/>
  <c r="M281" i="1"/>
  <c r="O280" i="1"/>
  <c r="N280" i="1"/>
  <c r="M280" i="1"/>
  <c r="O279" i="1"/>
  <c r="M279" i="1"/>
  <c r="N279" i="1" s="1"/>
  <c r="O278" i="1"/>
  <c r="N278" i="1"/>
  <c r="M278" i="1"/>
  <c r="O277" i="1"/>
  <c r="N277" i="1"/>
  <c r="M277" i="1"/>
  <c r="O276" i="1"/>
  <c r="N276" i="1"/>
  <c r="M276" i="1"/>
  <c r="O275" i="1"/>
  <c r="M275" i="1"/>
  <c r="N275" i="1" s="1"/>
  <c r="O274" i="1"/>
  <c r="N274" i="1"/>
  <c r="M274" i="1"/>
  <c r="O273" i="1"/>
  <c r="N273" i="1"/>
  <c r="M273" i="1"/>
  <c r="O272" i="1"/>
  <c r="N272" i="1"/>
  <c r="M272" i="1"/>
  <c r="O271" i="1"/>
  <c r="M271" i="1"/>
  <c r="N271" i="1" s="1"/>
  <c r="O270" i="1"/>
  <c r="N270" i="1"/>
  <c r="M270" i="1"/>
  <c r="O269" i="1"/>
  <c r="N269" i="1"/>
  <c r="M269" i="1"/>
  <c r="O268" i="1"/>
  <c r="N268" i="1"/>
  <c r="M268" i="1"/>
  <c r="O267" i="1"/>
  <c r="M267" i="1"/>
  <c r="N267" i="1" s="1"/>
  <c r="O266" i="1"/>
  <c r="N266" i="1"/>
  <c r="M266" i="1"/>
  <c r="O265" i="1"/>
  <c r="N265" i="1"/>
  <c r="M265" i="1"/>
  <c r="O264" i="1"/>
  <c r="N264" i="1"/>
  <c r="M264" i="1"/>
  <c r="O263" i="1"/>
  <c r="M263" i="1"/>
  <c r="N263" i="1" s="1"/>
  <c r="O262" i="1"/>
  <c r="N262" i="1"/>
  <c r="M262" i="1"/>
  <c r="O261" i="1"/>
  <c r="N261" i="1"/>
  <c r="M261" i="1"/>
  <c r="O260" i="1"/>
  <c r="N260" i="1"/>
  <c r="M260" i="1"/>
  <c r="O259" i="1"/>
  <c r="M259" i="1"/>
  <c r="N259" i="1" s="1"/>
  <c r="O258" i="1"/>
  <c r="N258" i="1"/>
  <c r="M258" i="1"/>
  <c r="O257" i="1"/>
  <c r="N257" i="1"/>
  <c r="M257" i="1"/>
  <c r="O256" i="1"/>
  <c r="N256" i="1"/>
  <c r="M256" i="1"/>
  <c r="O255" i="1"/>
  <c r="M255" i="1"/>
  <c r="N255" i="1" s="1"/>
  <c r="O254" i="1"/>
  <c r="N254" i="1"/>
  <c r="M254" i="1"/>
  <c r="O253" i="1"/>
  <c r="N253" i="1"/>
  <c r="M253" i="1"/>
  <c r="O252" i="1"/>
  <c r="N252" i="1"/>
  <c r="M252" i="1"/>
  <c r="O251" i="1"/>
  <c r="M251" i="1"/>
  <c r="N251" i="1" s="1"/>
  <c r="O250" i="1"/>
  <c r="N250" i="1"/>
  <c r="M250" i="1"/>
  <c r="O249" i="1"/>
  <c r="N249" i="1"/>
  <c r="M249" i="1"/>
  <c r="O248" i="1"/>
  <c r="N248" i="1"/>
  <c r="M248" i="1"/>
  <c r="O247" i="1"/>
  <c r="M247" i="1"/>
  <c r="N247" i="1" s="1"/>
  <c r="O246" i="1"/>
  <c r="N246" i="1"/>
  <c r="M246" i="1"/>
  <c r="O245" i="1"/>
  <c r="N245" i="1"/>
  <c r="M245" i="1"/>
  <c r="O244" i="1"/>
  <c r="N244" i="1"/>
  <c r="M244" i="1"/>
  <c r="O243" i="1"/>
  <c r="M243" i="1"/>
  <c r="N243" i="1" s="1"/>
  <c r="O242" i="1"/>
  <c r="N242" i="1"/>
  <c r="M242" i="1"/>
  <c r="O241" i="1"/>
  <c r="N241" i="1"/>
  <c r="M241" i="1"/>
  <c r="O240" i="1"/>
  <c r="N240" i="1"/>
  <c r="M240" i="1"/>
  <c r="O239" i="1"/>
  <c r="M239" i="1"/>
  <c r="N239" i="1" s="1"/>
  <c r="O238" i="1"/>
  <c r="N238" i="1"/>
  <c r="M238" i="1"/>
  <c r="O237" i="1"/>
  <c r="N237" i="1"/>
  <c r="M237" i="1"/>
  <c r="O236" i="1"/>
  <c r="N236" i="1"/>
  <c r="M236" i="1"/>
  <c r="O235" i="1"/>
  <c r="M235" i="1"/>
  <c r="N235" i="1" s="1"/>
  <c r="O234" i="1"/>
  <c r="N234" i="1"/>
  <c r="M234" i="1"/>
  <c r="O233" i="1"/>
  <c r="N233" i="1"/>
  <c r="M233" i="1"/>
  <c r="O232" i="1"/>
  <c r="N232" i="1"/>
  <c r="M232" i="1"/>
  <c r="O231" i="1"/>
  <c r="M231" i="1"/>
  <c r="N231" i="1" s="1"/>
  <c r="O230" i="1"/>
  <c r="N230" i="1"/>
  <c r="M230" i="1"/>
  <c r="O229" i="1"/>
  <c r="N229" i="1"/>
  <c r="M229" i="1"/>
  <c r="O228" i="1"/>
  <c r="N228" i="1"/>
  <c r="M228" i="1"/>
  <c r="O227" i="1"/>
  <c r="M227" i="1"/>
  <c r="N227" i="1" s="1"/>
  <c r="O226" i="1"/>
  <c r="N226" i="1"/>
  <c r="M226" i="1"/>
  <c r="O225" i="1"/>
  <c r="N225" i="1"/>
  <c r="M225" i="1"/>
  <c r="O224" i="1"/>
  <c r="N224" i="1"/>
  <c r="M224" i="1"/>
  <c r="O223" i="1"/>
  <c r="M223" i="1"/>
  <c r="N223" i="1" s="1"/>
  <c r="O222" i="1"/>
  <c r="N222" i="1"/>
  <c r="M222" i="1"/>
  <c r="O221" i="1"/>
  <c r="N221" i="1"/>
  <c r="M221" i="1"/>
  <c r="O220" i="1"/>
  <c r="N220" i="1"/>
  <c r="M220" i="1"/>
  <c r="O219" i="1"/>
  <c r="M219" i="1"/>
  <c r="N219" i="1" s="1"/>
  <c r="O218" i="1"/>
  <c r="N218" i="1"/>
  <c r="M218" i="1"/>
  <c r="O217" i="1"/>
  <c r="N217" i="1"/>
  <c r="M217" i="1"/>
  <c r="O216" i="1"/>
  <c r="N216" i="1"/>
  <c r="M216" i="1"/>
  <c r="O215" i="1"/>
  <c r="M215" i="1"/>
  <c r="N215" i="1" s="1"/>
  <c r="O214" i="1"/>
  <c r="N214" i="1"/>
  <c r="M214" i="1"/>
  <c r="O213" i="1"/>
  <c r="N213" i="1"/>
  <c r="M213" i="1"/>
  <c r="O212" i="1"/>
  <c r="N212" i="1"/>
  <c r="M212" i="1"/>
  <c r="O211" i="1"/>
  <c r="M211" i="1"/>
  <c r="N211" i="1" s="1"/>
  <c r="O210" i="1"/>
  <c r="N210" i="1"/>
  <c r="M210" i="1"/>
  <c r="O209" i="1"/>
  <c r="N209" i="1"/>
  <c r="M209" i="1"/>
  <c r="O208" i="1"/>
  <c r="N208" i="1"/>
  <c r="M208" i="1"/>
  <c r="O207" i="1"/>
  <c r="M207" i="1"/>
  <c r="N207" i="1" s="1"/>
  <c r="O206" i="1"/>
  <c r="N206" i="1"/>
  <c r="M206" i="1"/>
  <c r="O205" i="1"/>
  <c r="N205" i="1"/>
  <c r="M205" i="1"/>
  <c r="O204" i="1"/>
  <c r="N204" i="1"/>
  <c r="M204" i="1"/>
  <c r="O203" i="1"/>
  <c r="M203" i="1"/>
  <c r="N203" i="1" s="1"/>
  <c r="O202" i="1"/>
  <c r="N202" i="1"/>
  <c r="M202" i="1"/>
  <c r="O201" i="1"/>
  <c r="N201" i="1"/>
  <c r="M201" i="1"/>
  <c r="O200" i="1"/>
  <c r="N200" i="1"/>
  <c r="M200" i="1"/>
  <c r="O199" i="1"/>
  <c r="M199" i="1"/>
  <c r="N199" i="1" s="1"/>
  <c r="O198" i="1"/>
  <c r="N198" i="1"/>
  <c r="M198" i="1"/>
  <c r="O197" i="1"/>
  <c r="N197" i="1"/>
  <c r="M197" i="1"/>
  <c r="O196" i="1"/>
  <c r="N196" i="1"/>
  <c r="M196" i="1"/>
  <c r="O195" i="1"/>
  <c r="M195" i="1"/>
  <c r="N195" i="1" s="1"/>
  <c r="O194" i="1"/>
  <c r="N194" i="1"/>
  <c r="M194" i="1"/>
  <c r="O193" i="1"/>
  <c r="N193" i="1"/>
  <c r="M193" i="1"/>
  <c r="O192" i="1"/>
  <c r="N192" i="1"/>
  <c r="M192" i="1"/>
  <c r="O191" i="1"/>
  <c r="M191" i="1"/>
  <c r="N191" i="1" s="1"/>
  <c r="O190" i="1"/>
  <c r="N190" i="1"/>
  <c r="M190" i="1"/>
  <c r="O189" i="1"/>
  <c r="N189" i="1"/>
  <c r="M189" i="1"/>
  <c r="O188" i="1"/>
  <c r="N188" i="1"/>
  <c r="M188" i="1"/>
  <c r="O187" i="1"/>
  <c r="M187" i="1"/>
  <c r="N187" i="1" s="1"/>
  <c r="O186" i="1"/>
  <c r="N186" i="1"/>
  <c r="M186" i="1"/>
  <c r="O185" i="1"/>
  <c r="N185" i="1"/>
  <c r="M185" i="1"/>
  <c r="O184" i="1"/>
  <c r="N184" i="1"/>
  <c r="M184" i="1"/>
  <c r="O183" i="1"/>
  <c r="M183" i="1"/>
  <c r="N183" i="1" s="1"/>
  <c r="O182" i="1"/>
  <c r="N182" i="1"/>
  <c r="M182" i="1"/>
  <c r="O181" i="1"/>
  <c r="N181" i="1"/>
  <c r="M181" i="1"/>
  <c r="O180" i="1"/>
  <c r="N180" i="1"/>
  <c r="M180" i="1"/>
  <c r="O179" i="1"/>
  <c r="M179" i="1"/>
  <c r="N179" i="1" s="1"/>
  <c r="O178" i="1"/>
  <c r="N178" i="1"/>
  <c r="M178" i="1"/>
  <c r="O177" i="1"/>
  <c r="N177" i="1"/>
  <c r="M177" i="1"/>
  <c r="O176" i="1"/>
  <c r="N176" i="1"/>
  <c r="M176" i="1"/>
  <c r="O175" i="1"/>
  <c r="M175" i="1"/>
  <c r="N175" i="1" s="1"/>
  <c r="O174" i="1"/>
  <c r="N174" i="1"/>
  <c r="M174" i="1"/>
  <c r="O173" i="1"/>
  <c r="N173" i="1"/>
  <c r="M173" i="1"/>
  <c r="O172" i="1"/>
  <c r="N172" i="1"/>
  <c r="M172" i="1"/>
  <c r="O171" i="1"/>
  <c r="M171" i="1"/>
  <c r="N171" i="1" s="1"/>
  <c r="O170" i="1"/>
  <c r="N170" i="1"/>
  <c r="M170" i="1"/>
  <c r="O169" i="1"/>
  <c r="N169" i="1"/>
  <c r="M169" i="1"/>
  <c r="O168" i="1"/>
  <c r="N168" i="1"/>
  <c r="M168" i="1"/>
  <c r="O167" i="1"/>
  <c r="M167" i="1"/>
  <c r="N167" i="1" s="1"/>
  <c r="O166" i="1"/>
  <c r="N166" i="1"/>
  <c r="M166" i="1"/>
  <c r="O165" i="1"/>
  <c r="N165" i="1"/>
  <c r="M165" i="1"/>
  <c r="O164" i="1"/>
  <c r="N164" i="1"/>
  <c r="M164" i="1"/>
  <c r="O163" i="1"/>
  <c r="M163" i="1"/>
  <c r="N163" i="1" s="1"/>
  <c r="O162" i="1"/>
  <c r="N162" i="1"/>
  <c r="M162" i="1"/>
  <c r="O161" i="1"/>
  <c r="N161" i="1"/>
  <c r="M161" i="1"/>
  <c r="O160" i="1"/>
  <c r="N160" i="1"/>
  <c r="M160" i="1"/>
  <c r="O159" i="1"/>
  <c r="M159" i="1"/>
  <c r="N159" i="1" s="1"/>
  <c r="O158" i="1"/>
  <c r="N158" i="1"/>
  <c r="M158" i="1"/>
  <c r="O157" i="1"/>
  <c r="N157" i="1"/>
  <c r="M157" i="1"/>
  <c r="O156" i="1"/>
  <c r="N156" i="1"/>
  <c r="M156" i="1"/>
  <c r="O155" i="1"/>
  <c r="M155" i="1"/>
  <c r="N155" i="1" s="1"/>
  <c r="O154" i="1"/>
  <c r="N154" i="1"/>
  <c r="M154" i="1"/>
  <c r="O153" i="1"/>
  <c r="N153" i="1"/>
  <c r="M153" i="1"/>
  <c r="O152" i="1"/>
  <c r="N152" i="1"/>
  <c r="M152" i="1"/>
  <c r="O151" i="1"/>
  <c r="M151" i="1"/>
  <c r="N151" i="1" s="1"/>
  <c r="O150" i="1"/>
  <c r="N150" i="1"/>
  <c r="M150" i="1"/>
  <c r="O149" i="1"/>
  <c r="N149" i="1"/>
  <c r="M149" i="1"/>
  <c r="O148" i="1"/>
  <c r="N148" i="1"/>
  <c r="M148" i="1"/>
  <c r="O147" i="1"/>
  <c r="M147" i="1"/>
  <c r="N147" i="1" s="1"/>
  <c r="O146" i="1"/>
  <c r="N146" i="1"/>
  <c r="M146" i="1"/>
  <c r="O145" i="1"/>
  <c r="N145" i="1"/>
  <c r="M145" i="1"/>
  <c r="O144" i="1"/>
  <c r="N144" i="1"/>
  <c r="M144" i="1"/>
  <c r="O143" i="1"/>
  <c r="M143" i="1"/>
  <c r="N143" i="1" s="1"/>
  <c r="O142" i="1"/>
  <c r="N142" i="1"/>
  <c r="M142" i="1"/>
  <c r="O141" i="1"/>
  <c r="N141" i="1"/>
  <c r="M141" i="1"/>
  <c r="O140" i="1"/>
  <c r="N140" i="1"/>
  <c r="M140" i="1"/>
  <c r="O139" i="1"/>
  <c r="M139" i="1"/>
  <c r="N139" i="1" s="1"/>
  <c r="O138" i="1"/>
  <c r="N138" i="1"/>
  <c r="M138" i="1"/>
  <c r="O137" i="1"/>
  <c r="N137" i="1"/>
  <c r="M137" i="1"/>
  <c r="O136" i="1"/>
  <c r="N136" i="1"/>
  <c r="M136" i="1"/>
  <c r="O135" i="1"/>
  <c r="M135" i="1"/>
  <c r="N135" i="1" s="1"/>
  <c r="O134" i="1"/>
  <c r="N134" i="1"/>
  <c r="M134" i="1"/>
  <c r="O133" i="1"/>
  <c r="N133" i="1"/>
  <c r="M133" i="1"/>
  <c r="O132" i="1"/>
  <c r="N132" i="1"/>
  <c r="M132" i="1"/>
  <c r="O131" i="1"/>
  <c r="M131" i="1"/>
  <c r="N131" i="1" s="1"/>
  <c r="O130" i="1"/>
  <c r="N130" i="1"/>
  <c r="M130" i="1"/>
  <c r="O129" i="1"/>
  <c r="N129" i="1"/>
  <c r="M129" i="1"/>
  <c r="O128" i="1"/>
  <c r="N128" i="1"/>
  <c r="M128" i="1"/>
  <c r="O127" i="1"/>
  <c r="M127" i="1"/>
  <c r="N127" i="1" s="1"/>
  <c r="O126" i="1"/>
  <c r="N126" i="1"/>
  <c r="M126" i="1"/>
  <c r="O125" i="1"/>
  <c r="N125" i="1"/>
  <c r="M125" i="1"/>
  <c r="O124" i="1"/>
  <c r="N124" i="1"/>
  <c r="M124" i="1"/>
  <c r="O123" i="1"/>
  <c r="M123" i="1"/>
  <c r="N123" i="1" s="1"/>
  <c r="O122" i="1"/>
  <c r="N122" i="1"/>
  <c r="M122" i="1"/>
  <c r="O121" i="1"/>
  <c r="N121" i="1"/>
  <c r="M121" i="1"/>
  <c r="O120" i="1"/>
  <c r="N120" i="1"/>
  <c r="M120" i="1"/>
  <c r="O119" i="1"/>
  <c r="M119" i="1"/>
  <c r="N119" i="1" s="1"/>
  <c r="O118" i="1"/>
  <c r="N118" i="1"/>
  <c r="M118" i="1"/>
  <c r="O117" i="1"/>
  <c r="N117" i="1"/>
  <c r="M117" i="1"/>
  <c r="O116" i="1"/>
  <c r="N116" i="1"/>
  <c r="M116" i="1"/>
  <c r="O115" i="1"/>
  <c r="M115" i="1"/>
  <c r="N115" i="1" s="1"/>
  <c r="O114" i="1"/>
  <c r="N114" i="1"/>
  <c r="M114" i="1"/>
  <c r="O113" i="1"/>
  <c r="N113" i="1"/>
  <c r="M113" i="1"/>
  <c r="O112" i="1"/>
  <c r="N112" i="1"/>
  <c r="M112" i="1"/>
  <c r="O111" i="1"/>
  <c r="M111" i="1"/>
  <c r="N111" i="1" s="1"/>
  <c r="O110" i="1"/>
  <c r="N110" i="1"/>
  <c r="M110" i="1"/>
  <c r="O109" i="1"/>
  <c r="N109" i="1"/>
  <c r="M109" i="1"/>
  <c r="O108" i="1"/>
  <c r="N108" i="1"/>
  <c r="M108" i="1"/>
  <c r="O107" i="1"/>
  <c r="M107" i="1"/>
  <c r="N107" i="1" s="1"/>
  <c r="O106" i="1"/>
  <c r="N106" i="1"/>
  <c r="M106" i="1"/>
  <c r="O105" i="1"/>
  <c r="N105" i="1"/>
  <c r="M105" i="1"/>
  <c r="O104" i="1"/>
  <c r="N104" i="1"/>
  <c r="M104" i="1"/>
  <c r="O103" i="1"/>
  <c r="M103" i="1"/>
  <c r="N103" i="1" s="1"/>
  <c r="O102" i="1"/>
  <c r="N102" i="1"/>
  <c r="M102" i="1"/>
  <c r="O101" i="1"/>
  <c r="N101" i="1"/>
  <c r="M101" i="1"/>
  <c r="O100" i="1"/>
  <c r="N100" i="1"/>
  <c r="M100" i="1"/>
  <c r="O99" i="1"/>
  <c r="M99" i="1"/>
  <c r="N99" i="1" s="1"/>
  <c r="O98" i="1"/>
  <c r="N98" i="1"/>
  <c r="M98" i="1"/>
  <c r="O97" i="1"/>
  <c r="N97" i="1"/>
  <c r="M97" i="1"/>
  <c r="O96" i="1"/>
  <c r="N96" i="1"/>
  <c r="M96" i="1"/>
  <c r="O95" i="1"/>
  <c r="M95" i="1"/>
  <c r="N95" i="1" s="1"/>
  <c r="O94" i="1"/>
  <c r="N94" i="1"/>
  <c r="M94" i="1"/>
  <c r="O93" i="1"/>
  <c r="N93" i="1"/>
  <c r="M93" i="1"/>
  <c r="O92" i="1"/>
  <c r="N92" i="1"/>
  <c r="M92" i="1"/>
  <c r="O91" i="1"/>
  <c r="M91" i="1"/>
  <c r="N91" i="1" s="1"/>
  <c r="O90" i="1"/>
  <c r="N90" i="1"/>
  <c r="M90" i="1"/>
  <c r="O89" i="1"/>
  <c r="N89" i="1"/>
  <c r="M89" i="1"/>
  <c r="O88" i="1"/>
  <c r="N88" i="1"/>
  <c r="M88" i="1"/>
  <c r="O87" i="1"/>
  <c r="M87" i="1"/>
  <c r="N87" i="1" s="1"/>
  <c r="O86" i="1"/>
  <c r="N86" i="1"/>
  <c r="M86" i="1"/>
  <c r="O85" i="1"/>
  <c r="N85" i="1"/>
  <c r="M85" i="1"/>
  <c r="O84" i="1"/>
  <c r="N84" i="1"/>
  <c r="M84" i="1"/>
  <c r="O83" i="1"/>
  <c r="M83" i="1"/>
  <c r="N83" i="1" s="1"/>
  <c r="O82" i="1"/>
  <c r="N82" i="1"/>
  <c r="M82" i="1"/>
  <c r="O81" i="1"/>
  <c r="N81" i="1"/>
  <c r="M81" i="1"/>
  <c r="O80" i="1"/>
  <c r="N80" i="1"/>
  <c r="M80" i="1"/>
  <c r="O79" i="1"/>
  <c r="M79" i="1"/>
  <c r="N79" i="1" s="1"/>
  <c r="O78" i="1"/>
  <c r="N78" i="1"/>
  <c r="M78" i="1"/>
  <c r="O77" i="1"/>
  <c r="N77" i="1"/>
  <c r="M77" i="1"/>
  <c r="O76" i="1"/>
  <c r="N76" i="1"/>
  <c r="M76" i="1"/>
  <c r="O75" i="1"/>
  <c r="M75" i="1"/>
  <c r="N75" i="1" s="1"/>
  <c r="O74" i="1"/>
  <c r="N74" i="1"/>
  <c r="M74" i="1"/>
  <c r="O73" i="1"/>
  <c r="N73" i="1"/>
  <c r="M73" i="1"/>
  <c r="O72" i="1"/>
  <c r="N72" i="1"/>
  <c r="M72" i="1"/>
  <c r="O71" i="1"/>
  <c r="M71" i="1"/>
  <c r="N71" i="1" s="1"/>
  <c r="O70" i="1"/>
  <c r="N70" i="1"/>
  <c r="M70" i="1"/>
  <c r="O69" i="1"/>
  <c r="N69" i="1"/>
  <c r="M69" i="1"/>
  <c r="O68" i="1"/>
  <c r="N68" i="1"/>
  <c r="M68" i="1"/>
  <c r="O67" i="1"/>
  <c r="M67" i="1"/>
  <c r="N67" i="1" s="1"/>
  <c r="O66" i="1"/>
  <c r="N66" i="1"/>
  <c r="M66" i="1"/>
  <c r="O65" i="1"/>
  <c r="N65" i="1"/>
  <c r="M65" i="1"/>
  <c r="O64" i="1"/>
  <c r="N64" i="1"/>
  <c r="M64" i="1"/>
  <c r="O63" i="1"/>
  <c r="M63" i="1"/>
  <c r="N63" i="1" s="1"/>
  <c r="O62" i="1"/>
  <c r="N62" i="1"/>
  <c r="M62" i="1"/>
  <c r="O61" i="1"/>
  <c r="N61" i="1"/>
  <c r="M61" i="1"/>
  <c r="O60" i="1"/>
  <c r="N60" i="1"/>
  <c r="M60" i="1"/>
  <c r="O59" i="1"/>
  <c r="M59" i="1"/>
  <c r="N59" i="1" s="1"/>
  <c r="O58" i="1"/>
  <c r="N58" i="1"/>
  <c r="M58" i="1"/>
  <c r="O57" i="1"/>
  <c r="N57" i="1"/>
  <c r="M57" i="1"/>
  <c r="O56" i="1"/>
  <c r="N56" i="1"/>
  <c r="M56" i="1"/>
  <c r="O55" i="1"/>
  <c r="M55" i="1"/>
  <c r="N55" i="1" s="1"/>
  <c r="O54" i="1"/>
  <c r="N54" i="1"/>
  <c r="M54" i="1"/>
  <c r="O53" i="1"/>
  <c r="N53" i="1"/>
  <c r="M53" i="1"/>
  <c r="O52" i="1"/>
  <c r="N52" i="1"/>
  <c r="M52" i="1"/>
  <c r="O51" i="1"/>
  <c r="M51" i="1"/>
  <c r="N51" i="1" s="1"/>
  <c r="O50" i="1"/>
  <c r="N50" i="1"/>
  <c r="M50" i="1"/>
  <c r="O49" i="1"/>
  <c r="N49" i="1"/>
  <c r="M49" i="1"/>
  <c r="O48" i="1"/>
  <c r="N48" i="1"/>
  <c r="M48" i="1"/>
  <c r="O47" i="1"/>
  <c r="M47" i="1"/>
  <c r="N47" i="1" s="1"/>
  <c r="O46" i="1"/>
  <c r="N46" i="1"/>
  <c r="M46" i="1"/>
  <c r="O45" i="1"/>
  <c r="N45" i="1"/>
  <c r="M45" i="1"/>
  <c r="O44" i="1"/>
  <c r="N44" i="1"/>
  <c r="M44" i="1"/>
  <c r="O43" i="1"/>
  <c r="M43" i="1"/>
  <c r="N43" i="1" s="1"/>
  <c r="O42" i="1"/>
  <c r="N42" i="1"/>
  <c r="M42" i="1"/>
  <c r="O41" i="1"/>
  <c r="N41" i="1"/>
  <c r="M41" i="1"/>
  <c r="O40" i="1"/>
  <c r="N40" i="1"/>
  <c r="M40" i="1"/>
  <c r="O39" i="1"/>
  <c r="M39" i="1"/>
  <c r="N39" i="1" s="1"/>
  <c r="O38" i="1"/>
  <c r="N38" i="1"/>
  <c r="M38" i="1"/>
  <c r="O37" i="1"/>
  <c r="N37" i="1"/>
  <c r="M37" i="1"/>
  <c r="O36" i="1"/>
  <c r="N36" i="1"/>
  <c r="M36" i="1"/>
  <c r="O35" i="1"/>
  <c r="M35" i="1"/>
  <c r="N35" i="1" s="1"/>
  <c r="O34" i="1"/>
  <c r="N34" i="1"/>
  <c r="M34" i="1"/>
  <c r="O33" i="1"/>
  <c r="N33" i="1"/>
  <c r="M33" i="1"/>
  <c r="O32" i="1"/>
  <c r="N32" i="1"/>
  <c r="M32" i="1"/>
  <c r="O31" i="1"/>
  <c r="M31" i="1"/>
  <c r="N31" i="1" s="1"/>
  <c r="O30" i="1"/>
  <c r="N30" i="1"/>
  <c r="M30" i="1"/>
  <c r="O29" i="1"/>
  <c r="N29" i="1"/>
  <c r="M29" i="1"/>
  <c r="O28" i="1"/>
  <c r="N28" i="1"/>
  <c r="M28" i="1"/>
  <c r="O27" i="1"/>
  <c r="M27" i="1"/>
  <c r="N27" i="1" s="1"/>
  <c r="O26" i="1"/>
  <c r="N26" i="1"/>
  <c r="M26" i="1"/>
  <c r="O25" i="1"/>
  <c r="N25" i="1"/>
  <c r="M25" i="1"/>
  <c r="O24" i="1"/>
  <c r="N24" i="1"/>
  <c r="M24" i="1"/>
  <c r="O23" i="1"/>
  <c r="M23" i="1"/>
  <c r="N23" i="1" s="1"/>
  <c r="O22" i="1"/>
  <c r="N22" i="1"/>
  <c r="M22" i="1"/>
  <c r="O21" i="1"/>
  <c r="N21" i="1"/>
  <c r="M21" i="1"/>
  <c r="O20" i="1"/>
  <c r="N20" i="1"/>
  <c r="M20" i="1"/>
  <c r="O19" i="1"/>
  <c r="M19" i="1"/>
  <c r="O18" i="1"/>
  <c r="N18" i="1"/>
  <c r="M18" i="1"/>
  <c r="O17" i="1"/>
  <c r="N17" i="1"/>
  <c r="M17" i="1"/>
  <c r="O16" i="1"/>
  <c r="N16" i="1"/>
  <c r="M16" i="1"/>
  <c r="O15" i="1"/>
  <c r="M15" i="1"/>
  <c r="N15" i="1" s="1"/>
  <c r="O14" i="1"/>
  <c r="N14" i="1"/>
  <c r="M14" i="1"/>
  <c r="O13" i="1"/>
  <c r="N13" i="1"/>
  <c r="M13" i="1"/>
  <c r="O12" i="1"/>
  <c r="N12" i="1"/>
  <c r="M12" i="1"/>
  <c r="O11" i="1"/>
  <c r="M11" i="1"/>
  <c r="N11" i="1" s="1"/>
  <c r="O10" i="1"/>
  <c r="N10" i="1"/>
  <c r="M10" i="1"/>
  <c r="O9" i="1"/>
  <c r="N9" i="1"/>
  <c r="M9" i="1"/>
  <c r="O8" i="1"/>
  <c r="N8" i="1"/>
  <c r="M8" i="1"/>
  <c r="O7" i="1"/>
  <c r="M7" i="1"/>
  <c r="O6" i="1"/>
  <c r="N6" i="1"/>
  <c r="M6" i="1"/>
  <c r="O5" i="1"/>
  <c r="N5" i="1"/>
  <c r="M5" i="1"/>
  <c r="O4" i="1"/>
  <c r="N4" i="1"/>
  <c r="M4" i="1"/>
  <c r="O3" i="1"/>
  <c r="M3" i="1"/>
  <c r="O2" i="1"/>
  <c r="N2" i="1"/>
  <c r="M2" i="1"/>
  <c r="G13" i="2" l="1"/>
  <c r="G24" i="2"/>
  <c r="G12" i="2"/>
  <c r="G20" i="2"/>
  <c r="N19" i="1"/>
  <c r="G14" i="2" s="1"/>
  <c r="F19" i="2"/>
  <c r="F22" i="2"/>
  <c r="N7" i="1"/>
  <c r="G22" i="2" s="1"/>
  <c r="F15" i="2"/>
  <c r="F11" i="2"/>
  <c r="F23" i="2"/>
  <c r="N3" i="1"/>
  <c r="F21" i="2"/>
  <c r="G21" i="2"/>
  <c r="F13" i="2"/>
  <c r="E6" i="2"/>
  <c r="F24" i="2"/>
  <c r="G19" i="2"/>
  <c r="F14" i="2"/>
  <c r="F20" i="2"/>
  <c r="F12" i="2"/>
  <c r="G15" i="2" l="1"/>
  <c r="G23" i="2"/>
  <c r="G11" i="2"/>
  <c r="F6" i="2"/>
</calcChain>
</file>

<file path=xl/sharedStrings.xml><?xml version="1.0" encoding="utf-8"?>
<sst xmlns="http://schemas.openxmlformats.org/spreadsheetml/2006/main" count="4155" uniqueCount="955">
  <si>
    <t>Post ID</t>
  </si>
  <si>
    <t>Date</t>
  </si>
  <si>
    <t>Post Time</t>
  </si>
  <si>
    <t>Platform</t>
  </si>
  <si>
    <t>Post Type</t>
  </si>
  <si>
    <t>Content Category</t>
  </si>
  <si>
    <t>Followers at Posting</t>
  </si>
  <si>
    <t>Reach</t>
  </si>
  <si>
    <t>Impressions</t>
  </si>
  <si>
    <t>Likes</t>
  </si>
  <si>
    <t>Comments</t>
  </si>
  <si>
    <t>Shares</t>
  </si>
  <si>
    <t>Total Engagements</t>
  </si>
  <si>
    <t>Engagement Rate</t>
  </si>
  <si>
    <t>Reach Rate (% of Followers)</t>
  </si>
  <si>
    <t>P0001</t>
  </si>
  <si>
    <t>2025-01-01</t>
  </si>
  <si>
    <t>11:00</t>
  </si>
  <si>
    <t>Twitter/X</t>
  </si>
  <si>
    <t>Video</t>
  </si>
  <si>
    <t>Educational</t>
  </si>
  <si>
    <t>P0002</t>
  </si>
  <si>
    <t>09:00</t>
  </si>
  <si>
    <t>Facebook</t>
  </si>
  <si>
    <t>Text</t>
  </si>
  <si>
    <t>Promotion</t>
  </si>
  <si>
    <t>P0003</t>
  </si>
  <si>
    <t>18:00</t>
  </si>
  <si>
    <t>TikTok</t>
  </si>
  <si>
    <t>Carousel</t>
  </si>
  <si>
    <t>Behind the Scenes</t>
  </si>
  <si>
    <t>P0004</t>
  </si>
  <si>
    <t>2025-01-02</t>
  </si>
  <si>
    <t>Instagram</t>
  </si>
  <si>
    <t>Image</t>
  </si>
  <si>
    <t>User Generated Content</t>
  </si>
  <si>
    <t>P0005</t>
  </si>
  <si>
    <t>2025-01-03</t>
  </si>
  <si>
    <t>P0006</t>
  </si>
  <si>
    <t>07:00</t>
  </si>
  <si>
    <t>Reel/Short</t>
  </si>
  <si>
    <t>Announcement</t>
  </si>
  <si>
    <t>P0007</t>
  </si>
  <si>
    <t>15:00</t>
  </si>
  <si>
    <t>P0008</t>
  </si>
  <si>
    <t>19:00</t>
  </si>
  <si>
    <t>Link</t>
  </si>
  <si>
    <t>Poll/Question</t>
  </si>
  <si>
    <t>P0009</t>
  </si>
  <si>
    <t>08:00</t>
  </si>
  <si>
    <t>LinkedIn</t>
  </si>
  <si>
    <t>P0010</t>
  </si>
  <si>
    <t>12:00</t>
  </si>
  <si>
    <t>P0011</t>
  </si>
  <si>
    <t>2025-01-04</t>
  </si>
  <si>
    <t>20:00</t>
  </si>
  <si>
    <t>P0012</t>
  </si>
  <si>
    <t>P0013</t>
  </si>
  <si>
    <t>P0014</t>
  </si>
  <si>
    <t>P0015</t>
  </si>
  <si>
    <t>2025-01-05</t>
  </si>
  <si>
    <t>P0016</t>
  </si>
  <si>
    <t>P0017</t>
  </si>
  <si>
    <t>P0018</t>
  </si>
  <si>
    <t>17:00</t>
  </si>
  <si>
    <t>P0019</t>
  </si>
  <si>
    <t>2025-01-06</t>
  </si>
  <si>
    <t>Product Launch</t>
  </si>
  <si>
    <t>P0020</t>
  </si>
  <si>
    <t>P0021</t>
  </si>
  <si>
    <t>P0022</t>
  </si>
  <si>
    <t>2025-01-07</t>
  </si>
  <si>
    <t>P0023</t>
  </si>
  <si>
    <t>21:00</t>
  </si>
  <si>
    <t>P0024</t>
  </si>
  <si>
    <t>P0025</t>
  </si>
  <si>
    <t>P0026</t>
  </si>
  <si>
    <t>P0027</t>
  </si>
  <si>
    <t>2025-01-08</t>
  </si>
  <si>
    <t>Meme/Entertainment</t>
  </si>
  <si>
    <t>P0028</t>
  </si>
  <si>
    <t>P0029</t>
  </si>
  <si>
    <t>2025-01-09</t>
  </si>
  <si>
    <t>13:00</t>
  </si>
  <si>
    <t>P0030</t>
  </si>
  <si>
    <t>P0031</t>
  </si>
  <si>
    <t>2025-01-10</t>
  </si>
  <si>
    <t>P0032</t>
  </si>
  <si>
    <t>P0033</t>
  </si>
  <si>
    <t>2025-01-11</t>
  </si>
  <si>
    <t>P0034</t>
  </si>
  <si>
    <t>P0035</t>
  </si>
  <si>
    <t>P0036</t>
  </si>
  <si>
    <t>2025-01-12</t>
  </si>
  <si>
    <t>P0037</t>
  </si>
  <si>
    <t>P0038</t>
  </si>
  <si>
    <t>P0039</t>
  </si>
  <si>
    <t>P0040</t>
  </si>
  <si>
    <t>2025-01-13</t>
  </si>
  <si>
    <t>P0041</t>
  </si>
  <si>
    <t>2025-01-14</t>
  </si>
  <si>
    <t>P0042</t>
  </si>
  <si>
    <t>P0043</t>
  </si>
  <si>
    <t>2025-01-15</t>
  </si>
  <si>
    <t>P0044</t>
  </si>
  <si>
    <t>P0045</t>
  </si>
  <si>
    <t>P0046</t>
  </si>
  <si>
    <t>2025-01-16</t>
  </si>
  <si>
    <t>P0047</t>
  </si>
  <si>
    <t>P0048</t>
  </si>
  <si>
    <t>P0049</t>
  </si>
  <si>
    <t>P0050</t>
  </si>
  <si>
    <t>2025-01-17</t>
  </si>
  <si>
    <t>P0051</t>
  </si>
  <si>
    <t>P0052</t>
  </si>
  <si>
    <t>P0053</t>
  </si>
  <si>
    <t>P0054</t>
  </si>
  <si>
    <t>2025-01-18</t>
  </si>
  <si>
    <t>P0055</t>
  </si>
  <si>
    <t>P0056</t>
  </si>
  <si>
    <t>P0057</t>
  </si>
  <si>
    <t>P0058</t>
  </si>
  <si>
    <t>2025-01-19</t>
  </si>
  <si>
    <t>P0059</t>
  </si>
  <si>
    <t>P0060</t>
  </si>
  <si>
    <t>2025-01-20</t>
  </si>
  <si>
    <t>P0061</t>
  </si>
  <si>
    <t>P0062</t>
  </si>
  <si>
    <t>P0063</t>
  </si>
  <si>
    <t>P0064</t>
  </si>
  <si>
    <t>2025-01-21</t>
  </si>
  <si>
    <t>P0065</t>
  </si>
  <si>
    <t>2025-01-22</t>
  </si>
  <si>
    <t>P0066</t>
  </si>
  <si>
    <t>P0067</t>
  </si>
  <si>
    <t>P0068</t>
  </si>
  <si>
    <t>P0069</t>
  </si>
  <si>
    <t>2025-01-23</t>
  </si>
  <si>
    <t>P0070</t>
  </si>
  <si>
    <t>P0071</t>
  </si>
  <si>
    <t>P0072</t>
  </si>
  <si>
    <t>2025-01-24</t>
  </si>
  <si>
    <t>P0073</t>
  </si>
  <si>
    <t>P0074</t>
  </si>
  <si>
    <t>P0075</t>
  </si>
  <si>
    <t>2025-01-25</t>
  </si>
  <si>
    <t>P0076</t>
  </si>
  <si>
    <t>P0077</t>
  </si>
  <si>
    <t>P0078</t>
  </si>
  <si>
    <t>P0079</t>
  </si>
  <si>
    <t>P0080</t>
  </si>
  <si>
    <t>P0081</t>
  </si>
  <si>
    <t>P0082</t>
  </si>
  <si>
    <t>2025-01-26</t>
  </si>
  <si>
    <t>P0083</t>
  </si>
  <si>
    <t>P0084</t>
  </si>
  <si>
    <t>2025-01-28</t>
  </si>
  <si>
    <t>P0085</t>
  </si>
  <si>
    <t>P0086</t>
  </si>
  <si>
    <t>P0087</t>
  </si>
  <si>
    <t>P0088</t>
  </si>
  <si>
    <t>2025-01-29</t>
  </si>
  <si>
    <t>P0089</t>
  </si>
  <si>
    <t>P0090</t>
  </si>
  <si>
    <t>2025-01-30</t>
  </si>
  <si>
    <t>P0091</t>
  </si>
  <si>
    <t>2025-01-31</t>
  </si>
  <si>
    <t>P0092</t>
  </si>
  <si>
    <t>P0093</t>
  </si>
  <si>
    <t>P0094</t>
  </si>
  <si>
    <t>P0095</t>
  </si>
  <si>
    <t>2025-02-01</t>
  </si>
  <si>
    <t>P0096</t>
  </si>
  <si>
    <t>P0097</t>
  </si>
  <si>
    <t>P0098</t>
  </si>
  <si>
    <t>2025-02-02</t>
  </si>
  <si>
    <t>P0099</t>
  </si>
  <si>
    <t>P0100</t>
  </si>
  <si>
    <t>P0101</t>
  </si>
  <si>
    <t>P0102</t>
  </si>
  <si>
    <t>2025-02-03</t>
  </si>
  <si>
    <t>P0103</t>
  </si>
  <si>
    <t>2025-02-04</t>
  </si>
  <si>
    <t>P0104</t>
  </si>
  <si>
    <t>P0105</t>
  </si>
  <si>
    <t>P0106</t>
  </si>
  <si>
    <t>P0107</t>
  </si>
  <si>
    <t>P0108</t>
  </si>
  <si>
    <t>P0109</t>
  </si>
  <si>
    <t>P0110</t>
  </si>
  <si>
    <t>2025-02-05</t>
  </si>
  <si>
    <t>P0111</t>
  </si>
  <si>
    <t>P0112</t>
  </si>
  <si>
    <t>P0113</t>
  </si>
  <si>
    <t>2025-02-06</t>
  </si>
  <si>
    <t>P0114</t>
  </si>
  <si>
    <t>P0115</t>
  </si>
  <si>
    <t>P0116</t>
  </si>
  <si>
    <t>P0117</t>
  </si>
  <si>
    <t>2025-02-07</t>
  </si>
  <si>
    <t>P0118</t>
  </si>
  <si>
    <t>P0119</t>
  </si>
  <si>
    <t>P0120</t>
  </si>
  <si>
    <t>2025-02-08</t>
  </si>
  <si>
    <t>P0121</t>
  </si>
  <si>
    <t>P0122</t>
  </si>
  <si>
    <t>P0123</t>
  </si>
  <si>
    <t>2025-02-09</t>
  </si>
  <si>
    <t>P0124</t>
  </si>
  <si>
    <t>P0125</t>
  </si>
  <si>
    <t>2025-02-10</t>
  </si>
  <si>
    <t>P0126</t>
  </si>
  <si>
    <t>P0127</t>
  </si>
  <si>
    <t>P0128</t>
  </si>
  <si>
    <t>P0129</t>
  </si>
  <si>
    <t>P0130</t>
  </si>
  <si>
    <t>P0131</t>
  </si>
  <si>
    <t>2025-02-11</t>
  </si>
  <si>
    <t>P0132</t>
  </si>
  <si>
    <t>P0133</t>
  </si>
  <si>
    <t>2025-02-12</t>
  </si>
  <si>
    <t>P0134</t>
  </si>
  <si>
    <t>P0135</t>
  </si>
  <si>
    <t>P0136</t>
  </si>
  <si>
    <t>P0137</t>
  </si>
  <si>
    <t>2025-02-13</t>
  </si>
  <si>
    <t>P0138</t>
  </si>
  <si>
    <t>P0139</t>
  </si>
  <si>
    <t>P0140</t>
  </si>
  <si>
    <t>P0141</t>
  </si>
  <si>
    <t>P0142</t>
  </si>
  <si>
    <t>2025-02-14</t>
  </si>
  <si>
    <t>P0143</t>
  </si>
  <si>
    <t>P0144</t>
  </si>
  <si>
    <t>2025-02-15</t>
  </si>
  <si>
    <t>P0145</t>
  </si>
  <si>
    <t>P0146</t>
  </si>
  <si>
    <t>2025-02-16</t>
  </si>
  <si>
    <t>P0147</t>
  </si>
  <si>
    <t>P0148</t>
  </si>
  <si>
    <t>P0149</t>
  </si>
  <si>
    <t>2025-02-17</t>
  </si>
  <si>
    <t>P0150</t>
  </si>
  <si>
    <t>P0151</t>
  </si>
  <si>
    <t>2025-02-18</t>
  </si>
  <si>
    <t>P0152</t>
  </si>
  <si>
    <t>P0153</t>
  </si>
  <si>
    <t>P0154</t>
  </si>
  <si>
    <t>2025-02-19</t>
  </si>
  <si>
    <t>P0155</t>
  </si>
  <si>
    <t>P0156</t>
  </si>
  <si>
    <t>P0157</t>
  </si>
  <si>
    <t>P0158</t>
  </si>
  <si>
    <t>P0159</t>
  </si>
  <si>
    <t>2025-02-20</t>
  </si>
  <si>
    <t>P0160</t>
  </si>
  <si>
    <t>2025-02-21</t>
  </si>
  <si>
    <t>P0161</t>
  </si>
  <si>
    <t>P0162</t>
  </si>
  <si>
    <t>P0163</t>
  </si>
  <si>
    <t>2025-02-22</t>
  </si>
  <si>
    <t>P0164</t>
  </si>
  <si>
    <t>P0165</t>
  </si>
  <si>
    <t>P0166</t>
  </si>
  <si>
    <t>P0167</t>
  </si>
  <si>
    <t>2025-02-23</t>
  </si>
  <si>
    <t>P0168</t>
  </si>
  <si>
    <t>P0169</t>
  </si>
  <si>
    <t>P0170</t>
  </si>
  <si>
    <t>P0171</t>
  </si>
  <si>
    <t>P0172</t>
  </si>
  <si>
    <t>2025-02-24</t>
  </si>
  <si>
    <t>P0173</t>
  </si>
  <si>
    <t>2025-02-26</t>
  </si>
  <si>
    <t>P0174</t>
  </si>
  <si>
    <t>P0175</t>
  </si>
  <si>
    <t>P0176</t>
  </si>
  <si>
    <t>P0177</t>
  </si>
  <si>
    <t>2025-02-27</t>
  </si>
  <si>
    <t>P0178</t>
  </si>
  <si>
    <t>2025-02-28</t>
  </si>
  <si>
    <t>P0179</t>
  </si>
  <si>
    <t>P0180</t>
  </si>
  <si>
    <t>P0181</t>
  </si>
  <si>
    <t>P0182</t>
  </si>
  <si>
    <t>P0183</t>
  </si>
  <si>
    <t>2025-03-01</t>
  </si>
  <si>
    <t>P0184</t>
  </si>
  <si>
    <t>2025-03-02</t>
  </si>
  <si>
    <t>P0185</t>
  </si>
  <si>
    <t>P0186</t>
  </si>
  <si>
    <t>P0187</t>
  </si>
  <si>
    <t>2025-03-03</t>
  </si>
  <si>
    <t>P0188</t>
  </si>
  <si>
    <t>2025-03-04</t>
  </si>
  <si>
    <t>P0189</t>
  </si>
  <si>
    <t>P0190</t>
  </si>
  <si>
    <t>P0191</t>
  </si>
  <si>
    <t>2025-03-05</t>
  </si>
  <si>
    <t>P0192</t>
  </si>
  <si>
    <t>P0193</t>
  </si>
  <si>
    <t>P0194</t>
  </si>
  <si>
    <t>P0195</t>
  </si>
  <si>
    <t>P0196</t>
  </si>
  <si>
    <t>2025-03-06</t>
  </si>
  <si>
    <t>P0197</t>
  </si>
  <si>
    <t>2025-03-07</t>
  </si>
  <si>
    <t>P0198</t>
  </si>
  <si>
    <t>2025-03-08</t>
  </si>
  <si>
    <t>P0199</t>
  </si>
  <si>
    <t>P0200</t>
  </si>
  <si>
    <t>P0201</t>
  </si>
  <si>
    <t>P0202</t>
  </si>
  <si>
    <t>2025-03-09</t>
  </si>
  <si>
    <t>P0203</t>
  </si>
  <si>
    <t>P0204</t>
  </si>
  <si>
    <t>P0205</t>
  </si>
  <si>
    <t>P0206</t>
  </si>
  <si>
    <t>P0207</t>
  </si>
  <si>
    <t>P0208</t>
  </si>
  <si>
    <t>P0209</t>
  </si>
  <si>
    <t>2025-03-10</t>
  </si>
  <si>
    <t>P0210</t>
  </si>
  <si>
    <t>P0211</t>
  </si>
  <si>
    <t>P0212</t>
  </si>
  <si>
    <t>P0213</t>
  </si>
  <si>
    <t>P0214</t>
  </si>
  <si>
    <t>2025-03-11</t>
  </si>
  <si>
    <t>P0215</t>
  </si>
  <si>
    <t>P0216</t>
  </si>
  <si>
    <t>P0217</t>
  </si>
  <si>
    <t>P0218</t>
  </si>
  <si>
    <t>P0219</t>
  </si>
  <si>
    <t>2025-03-12</t>
  </si>
  <si>
    <t>P0220</t>
  </si>
  <si>
    <t>P0221</t>
  </si>
  <si>
    <t>P0222</t>
  </si>
  <si>
    <t>P0223</t>
  </si>
  <si>
    <t>P0224</t>
  </si>
  <si>
    <t>2025-03-13</t>
  </si>
  <si>
    <t>P0225</t>
  </si>
  <si>
    <t>P0226</t>
  </si>
  <si>
    <t>P0227</t>
  </si>
  <si>
    <t>2025-03-14</t>
  </si>
  <si>
    <t>P0228</t>
  </si>
  <si>
    <t>2025-03-15</t>
  </si>
  <si>
    <t>P0229</t>
  </si>
  <si>
    <t>P0230</t>
  </si>
  <si>
    <t>P0231</t>
  </si>
  <si>
    <t>P0232</t>
  </si>
  <si>
    <t>P0233</t>
  </si>
  <si>
    <t>2025-03-16</t>
  </si>
  <si>
    <t>P0234</t>
  </si>
  <si>
    <t>P0235</t>
  </si>
  <si>
    <t>P0236</t>
  </si>
  <si>
    <t>P0237</t>
  </si>
  <si>
    <t>P0238</t>
  </si>
  <si>
    <t>2025-03-17</t>
  </si>
  <si>
    <t>P0239</t>
  </si>
  <si>
    <t>P0240</t>
  </si>
  <si>
    <t>P0241</t>
  </si>
  <si>
    <t>P0242</t>
  </si>
  <si>
    <t>2025-03-18</t>
  </si>
  <si>
    <t>P0243</t>
  </si>
  <si>
    <t>P0244</t>
  </si>
  <si>
    <t>P0245</t>
  </si>
  <si>
    <t>2025-03-19</t>
  </si>
  <si>
    <t>P0246</t>
  </si>
  <si>
    <t>P0247</t>
  </si>
  <si>
    <t>2025-03-20</t>
  </si>
  <si>
    <t>P0248</t>
  </si>
  <si>
    <t>P0249</t>
  </si>
  <si>
    <t>2025-03-21</t>
  </si>
  <si>
    <t>P0250</t>
  </si>
  <si>
    <t>P0251</t>
  </si>
  <si>
    <t>P0252</t>
  </si>
  <si>
    <t>P0253</t>
  </si>
  <si>
    <t>P0254</t>
  </si>
  <si>
    <t>P0255</t>
  </si>
  <si>
    <t>2025-03-22</t>
  </si>
  <si>
    <t>P0256</t>
  </si>
  <si>
    <t>P0257</t>
  </si>
  <si>
    <t>P0258</t>
  </si>
  <si>
    <t>2025-03-23</t>
  </si>
  <si>
    <t>P0259</t>
  </si>
  <si>
    <t>P0260</t>
  </si>
  <si>
    <t>P0261</t>
  </si>
  <si>
    <t>P0262</t>
  </si>
  <si>
    <t>P0263</t>
  </si>
  <si>
    <t>P0264</t>
  </si>
  <si>
    <t>2025-03-24</t>
  </si>
  <si>
    <t>P0265</t>
  </si>
  <si>
    <t>P0266</t>
  </si>
  <si>
    <t>2025-03-25</t>
  </si>
  <si>
    <t>P0267</t>
  </si>
  <si>
    <t>P0268</t>
  </si>
  <si>
    <t>P0269</t>
  </si>
  <si>
    <t>P0270</t>
  </si>
  <si>
    <t>2025-03-26</t>
  </si>
  <si>
    <t>P0271</t>
  </si>
  <si>
    <t>P0272</t>
  </si>
  <si>
    <t>P0273</t>
  </si>
  <si>
    <t>2025-03-27</t>
  </si>
  <si>
    <t>P0274</t>
  </si>
  <si>
    <t>P0275</t>
  </si>
  <si>
    <t>P0276</t>
  </si>
  <si>
    <t>P0277</t>
  </si>
  <si>
    <t>P0278</t>
  </si>
  <si>
    <t>P0279</t>
  </si>
  <si>
    <t>2025-03-28</t>
  </si>
  <si>
    <t>P0280</t>
  </si>
  <si>
    <t>P0281</t>
  </si>
  <si>
    <t>P0282</t>
  </si>
  <si>
    <t>P0283</t>
  </si>
  <si>
    <t>P0284</t>
  </si>
  <si>
    <t>2025-03-29</t>
  </si>
  <si>
    <t>P0285</t>
  </si>
  <si>
    <t>P0286</t>
  </si>
  <si>
    <t>2025-03-30</t>
  </si>
  <si>
    <t>P0287</t>
  </si>
  <si>
    <t>P0288</t>
  </si>
  <si>
    <t>2025-03-31</t>
  </si>
  <si>
    <t>P0289</t>
  </si>
  <si>
    <t>P0290</t>
  </si>
  <si>
    <t>P0291</t>
  </si>
  <si>
    <t>P0292</t>
  </si>
  <si>
    <t>P0293</t>
  </si>
  <si>
    <t>2025-04-01</t>
  </si>
  <si>
    <t>P0294</t>
  </si>
  <si>
    <t>2025-04-02</t>
  </si>
  <si>
    <t>P0295</t>
  </si>
  <si>
    <t>P0296</t>
  </si>
  <si>
    <t>P0297</t>
  </si>
  <si>
    <t>P0298</t>
  </si>
  <si>
    <t>P0299</t>
  </si>
  <si>
    <t>2025-04-03</t>
  </si>
  <si>
    <t>P0300</t>
  </si>
  <si>
    <t>P0301</t>
  </si>
  <si>
    <t>P0302</t>
  </si>
  <si>
    <t>2025-04-04</t>
  </si>
  <si>
    <t>P0303</t>
  </si>
  <si>
    <t>P0304</t>
  </si>
  <si>
    <t>P0305</t>
  </si>
  <si>
    <t>P0306</t>
  </si>
  <si>
    <t>P0307</t>
  </si>
  <si>
    <t>2025-04-05</t>
  </si>
  <si>
    <t>P0308</t>
  </si>
  <si>
    <t>P0309</t>
  </si>
  <si>
    <t>P0310</t>
  </si>
  <si>
    <t>P0311</t>
  </si>
  <si>
    <t>P0312</t>
  </si>
  <si>
    <t>2025-04-06</t>
  </si>
  <si>
    <t>P0313</t>
  </si>
  <si>
    <t>P0314</t>
  </si>
  <si>
    <t>P0315</t>
  </si>
  <si>
    <t>P0316</t>
  </si>
  <si>
    <t>P0317</t>
  </si>
  <si>
    <t>P0318</t>
  </si>
  <si>
    <t>2025-04-07</t>
  </si>
  <si>
    <t>P0319</t>
  </si>
  <si>
    <t>P0320</t>
  </si>
  <si>
    <t>P0321</t>
  </si>
  <si>
    <t>2025-04-08</t>
  </si>
  <si>
    <t>P0322</t>
  </si>
  <si>
    <t>P0323</t>
  </si>
  <si>
    <t>2025-04-09</t>
  </si>
  <si>
    <t>P0324</t>
  </si>
  <si>
    <t>P0325</t>
  </si>
  <si>
    <t>2025-04-10</t>
  </si>
  <si>
    <t>P0326</t>
  </si>
  <si>
    <t>P0327</t>
  </si>
  <si>
    <t>P0328</t>
  </si>
  <si>
    <t>2025-04-11</t>
  </si>
  <si>
    <t>P0329</t>
  </si>
  <si>
    <t>P0330</t>
  </si>
  <si>
    <t>2025-04-12</t>
  </si>
  <si>
    <t>P0331</t>
  </si>
  <si>
    <t>P0332</t>
  </si>
  <si>
    <t>P0333</t>
  </si>
  <si>
    <t>P0334</t>
  </si>
  <si>
    <t>P0335</t>
  </si>
  <si>
    <t>2025-04-13</t>
  </si>
  <si>
    <t>P0336</t>
  </si>
  <si>
    <t>P0337</t>
  </si>
  <si>
    <t>P0338</t>
  </si>
  <si>
    <t>2025-04-14</t>
  </si>
  <si>
    <t>P0339</t>
  </si>
  <si>
    <t>P0340</t>
  </si>
  <si>
    <t>P0341</t>
  </si>
  <si>
    <t>P0342</t>
  </si>
  <si>
    <t>2025-04-15</t>
  </si>
  <si>
    <t>P0343</t>
  </si>
  <si>
    <t>P0344</t>
  </si>
  <si>
    <t>P0345</t>
  </si>
  <si>
    <t>P0346</t>
  </si>
  <si>
    <t>2025-04-16</t>
  </si>
  <si>
    <t>P0347</t>
  </si>
  <si>
    <t>2025-04-17</t>
  </si>
  <si>
    <t>P0348</t>
  </si>
  <si>
    <t>P0349</t>
  </si>
  <si>
    <t>P0350</t>
  </si>
  <si>
    <t>P0351</t>
  </si>
  <si>
    <t>P0352</t>
  </si>
  <si>
    <t>2025-04-18</t>
  </si>
  <si>
    <t>P0353</t>
  </si>
  <si>
    <t>P0354</t>
  </si>
  <si>
    <t>2025-04-19</t>
  </si>
  <si>
    <t>P0355</t>
  </si>
  <si>
    <t>P0356</t>
  </si>
  <si>
    <t>2025-04-20</t>
  </si>
  <si>
    <t>P0357</t>
  </si>
  <si>
    <t>P0358</t>
  </si>
  <si>
    <t>P0359</t>
  </si>
  <si>
    <t>2025-04-21</t>
  </si>
  <si>
    <t>P0360</t>
  </si>
  <si>
    <t>2025-04-22</t>
  </si>
  <si>
    <t>P0361</t>
  </si>
  <si>
    <t>P0362</t>
  </si>
  <si>
    <t>P0363</t>
  </si>
  <si>
    <t>P0364</t>
  </si>
  <si>
    <t>P0365</t>
  </si>
  <si>
    <t>2025-04-23</t>
  </si>
  <si>
    <t>P0366</t>
  </si>
  <si>
    <t>P0367</t>
  </si>
  <si>
    <t>P0368</t>
  </si>
  <si>
    <t>2025-04-24</t>
  </si>
  <si>
    <t>P0369</t>
  </si>
  <si>
    <t>P0370</t>
  </si>
  <si>
    <t>P0371</t>
  </si>
  <si>
    <t>P0372</t>
  </si>
  <si>
    <t>2025-04-25</t>
  </si>
  <si>
    <t>P0373</t>
  </si>
  <si>
    <t>P0374</t>
  </si>
  <si>
    <t>P0375</t>
  </si>
  <si>
    <t>P0376</t>
  </si>
  <si>
    <t>2025-04-26</t>
  </si>
  <si>
    <t>P0377</t>
  </si>
  <si>
    <t>P0378</t>
  </si>
  <si>
    <t>P0379</t>
  </si>
  <si>
    <t>2025-04-27</t>
  </si>
  <si>
    <t>P0380</t>
  </si>
  <si>
    <t>P0381</t>
  </si>
  <si>
    <t>P0382</t>
  </si>
  <si>
    <t>2025-04-28</t>
  </si>
  <si>
    <t>P0383</t>
  </si>
  <si>
    <t>P0384</t>
  </si>
  <si>
    <t>2025-04-29</t>
  </si>
  <si>
    <t>P0385</t>
  </si>
  <si>
    <t>2025-04-30</t>
  </si>
  <si>
    <t>P0386</t>
  </si>
  <si>
    <t>P0387</t>
  </si>
  <si>
    <t>2025-05-01</t>
  </si>
  <si>
    <t>P0388</t>
  </si>
  <si>
    <t>2025-05-02</t>
  </si>
  <si>
    <t>P0389</t>
  </si>
  <si>
    <t>P0390</t>
  </si>
  <si>
    <t>P0391</t>
  </si>
  <si>
    <t>P0392</t>
  </si>
  <si>
    <t>2025-05-03</t>
  </si>
  <si>
    <t>P0393</t>
  </si>
  <si>
    <t>2025-05-04</t>
  </si>
  <si>
    <t>P0394</t>
  </si>
  <si>
    <t>P0395</t>
  </si>
  <si>
    <t>P0396</t>
  </si>
  <si>
    <t>2025-05-05</t>
  </si>
  <si>
    <t>P0397</t>
  </si>
  <si>
    <t>2025-05-06</t>
  </si>
  <si>
    <t>P0398</t>
  </si>
  <si>
    <t>P0399</t>
  </si>
  <si>
    <t>P0400</t>
  </si>
  <si>
    <t>P0401</t>
  </si>
  <si>
    <t>2025-05-07</t>
  </si>
  <si>
    <t>P0402</t>
  </si>
  <si>
    <t>P0403</t>
  </si>
  <si>
    <t>P0404</t>
  </si>
  <si>
    <t>P0405</t>
  </si>
  <si>
    <t>2025-05-08</t>
  </si>
  <si>
    <t>P0406</t>
  </si>
  <si>
    <t>P0407</t>
  </si>
  <si>
    <t>2025-05-09</t>
  </si>
  <si>
    <t>P0408</t>
  </si>
  <si>
    <t>P0409</t>
  </si>
  <si>
    <t>P0410</t>
  </si>
  <si>
    <t>2025-05-10</t>
  </si>
  <si>
    <t>P0411</t>
  </si>
  <si>
    <t>P0412</t>
  </si>
  <si>
    <t>P0413</t>
  </si>
  <si>
    <t>2025-05-11</t>
  </si>
  <si>
    <t>P0414</t>
  </si>
  <si>
    <t>P0415</t>
  </si>
  <si>
    <t>2025-05-12</t>
  </si>
  <si>
    <t>P0416</t>
  </si>
  <si>
    <t>P0417</t>
  </si>
  <si>
    <t>P0418</t>
  </si>
  <si>
    <t>P0419</t>
  </si>
  <si>
    <t>P0420</t>
  </si>
  <si>
    <t>2025-05-13</t>
  </si>
  <si>
    <t>P0421</t>
  </si>
  <si>
    <t>P0422</t>
  </si>
  <si>
    <t>P0423</t>
  </si>
  <si>
    <t>P0424</t>
  </si>
  <si>
    <t>P0425</t>
  </si>
  <si>
    <t>2025-05-14</t>
  </si>
  <si>
    <t>P0426</t>
  </si>
  <si>
    <t>P0427</t>
  </si>
  <si>
    <t>P0428</t>
  </si>
  <si>
    <t>P0429</t>
  </si>
  <si>
    <t>2025-05-15</t>
  </si>
  <si>
    <t>P0430</t>
  </si>
  <si>
    <t>P0431</t>
  </si>
  <si>
    <t>P0432</t>
  </si>
  <si>
    <t>2025-05-16</t>
  </si>
  <si>
    <t>P0433</t>
  </si>
  <si>
    <t>2025-05-17</t>
  </si>
  <si>
    <t>P0434</t>
  </si>
  <si>
    <t>P0435</t>
  </si>
  <si>
    <t>P0436</t>
  </si>
  <si>
    <t>2025-05-18</t>
  </si>
  <si>
    <t>P0437</t>
  </si>
  <si>
    <t>P0438</t>
  </si>
  <si>
    <t>P0439</t>
  </si>
  <si>
    <t>P0440</t>
  </si>
  <si>
    <t>P0441</t>
  </si>
  <si>
    <t>P0442</t>
  </si>
  <si>
    <t>2025-05-19</t>
  </si>
  <si>
    <t>P0443</t>
  </si>
  <si>
    <t>P0444</t>
  </si>
  <si>
    <t>P0445</t>
  </si>
  <si>
    <t>P0446</t>
  </si>
  <si>
    <t>2025-05-20</t>
  </si>
  <si>
    <t>P0447</t>
  </si>
  <si>
    <t>P0448</t>
  </si>
  <si>
    <t>P0449</t>
  </si>
  <si>
    <t>2025-05-21</t>
  </si>
  <si>
    <t>P0450</t>
  </si>
  <si>
    <t>P0451</t>
  </si>
  <si>
    <t>P0452</t>
  </si>
  <si>
    <t>P0453</t>
  </si>
  <si>
    <t>P0454</t>
  </si>
  <si>
    <t>2025-05-22</t>
  </si>
  <si>
    <t>P0455</t>
  </si>
  <si>
    <t>P0456</t>
  </si>
  <si>
    <t>P0457</t>
  </si>
  <si>
    <t>P0458</t>
  </si>
  <si>
    <t>P0459</t>
  </si>
  <si>
    <t>2025-05-23</t>
  </si>
  <si>
    <t>P0460</t>
  </si>
  <si>
    <t>P0461</t>
  </si>
  <si>
    <t>2025-05-24</t>
  </si>
  <si>
    <t>P0462</t>
  </si>
  <si>
    <t>P0463</t>
  </si>
  <si>
    <t>P0464</t>
  </si>
  <si>
    <t>2025-05-25</t>
  </si>
  <si>
    <t>P0465</t>
  </si>
  <si>
    <t>P0466</t>
  </si>
  <si>
    <t>2025-05-26</t>
  </si>
  <si>
    <t>P0467</t>
  </si>
  <si>
    <t>P0468</t>
  </si>
  <si>
    <t>2025-05-27</t>
  </si>
  <si>
    <t>P0469</t>
  </si>
  <si>
    <t>P0470</t>
  </si>
  <si>
    <t>P0471</t>
  </si>
  <si>
    <t>2025-05-28</t>
  </si>
  <si>
    <t>P0472</t>
  </si>
  <si>
    <t>P0473</t>
  </si>
  <si>
    <t>2025-05-29</t>
  </si>
  <si>
    <t>P0474</t>
  </si>
  <si>
    <t>P0475</t>
  </si>
  <si>
    <t>P0476</t>
  </si>
  <si>
    <t>P0477</t>
  </si>
  <si>
    <t>2025-05-30</t>
  </si>
  <si>
    <t>P0478</t>
  </si>
  <si>
    <t>P0479</t>
  </si>
  <si>
    <t>P0480</t>
  </si>
  <si>
    <t>2025-05-31</t>
  </si>
  <si>
    <t>P0481</t>
  </si>
  <si>
    <t>2025-06-01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</si>
  <si>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</si>
  <si>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</si>
  <si>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</si>
  <si>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</si>
  <si>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</si>
  <si>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</si>
  <si>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</si>
  <si>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</si>
  <si>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2025-06-02</t>
  </si>
  <si>
    <t>P0490</t>
  </si>
  <si>
    <t>P0491</t>
  </si>
  <si>
    <t>P0492</t>
  </si>
  <si>
    <t>P0493</t>
  </si>
  <si>
    <t>P0494</t>
  </si>
  <si>
    <t>2025-06-03</t>
  </si>
  <si>
    <t>P0495</t>
  </si>
  <si>
    <t>2025-06-04</t>
  </si>
  <si>
    <t>P0496</t>
  </si>
  <si>
    <t>P0497</t>
  </si>
  <si>
    <t>P0498</t>
  </si>
  <si>
    <t>P0499</t>
  </si>
  <si>
    <t>P0500</t>
  </si>
  <si>
    <t>2025-06-05</t>
  </si>
  <si>
    <t>P0501</t>
  </si>
  <si>
    <t>P0502</t>
  </si>
  <si>
    <t>P0503</t>
  </si>
  <si>
    <t>P0504</t>
  </si>
  <si>
    <t>P0505</t>
  </si>
  <si>
    <t>2025-06-06</t>
  </si>
  <si>
    <t>P0506</t>
  </si>
  <si>
    <t>P0507</t>
  </si>
  <si>
    <t>P0508</t>
  </si>
  <si>
    <t>P0509</t>
  </si>
  <si>
    <t>2025-06-07</t>
  </si>
  <si>
    <t>P0510</t>
  </si>
  <si>
    <t>P0511</t>
  </si>
  <si>
    <t>2025-06-08</t>
  </si>
  <si>
    <t>P0512</t>
  </si>
  <si>
    <t>P0513</t>
  </si>
  <si>
    <t>2025-06-09</t>
  </si>
  <si>
    <t>P0514</t>
  </si>
  <si>
    <t>P0515</t>
  </si>
  <si>
    <t>P0516</t>
  </si>
  <si>
    <t>P0517</t>
  </si>
  <si>
    <t>2025-06-10</t>
  </si>
  <si>
    <t>P0518</t>
  </si>
  <si>
    <t>P0519</t>
  </si>
  <si>
    <t>P0520</t>
  </si>
  <si>
    <t>P0521</t>
  </si>
  <si>
    <t>P0522</t>
  </si>
  <si>
    <t>2025-06-11</t>
  </si>
  <si>
    <t>P0523</t>
  </si>
  <si>
    <t>P0524</t>
  </si>
  <si>
    <t>P0525</t>
  </si>
  <si>
    <t>P0526</t>
  </si>
  <si>
    <t>2025-06-12</t>
  </si>
  <si>
    <t>P0527</t>
  </si>
  <si>
    <t>P0528</t>
  </si>
  <si>
    <t>P0529</t>
  </si>
  <si>
    <t>P0530</t>
  </si>
  <si>
    <t>P0531</t>
  </si>
  <si>
    <t>2025-06-13</t>
  </si>
  <si>
    <t>P0532</t>
  </si>
  <si>
    <t>P0533</t>
  </si>
  <si>
    <t>P0534</t>
  </si>
  <si>
    <t>2025-06-14</t>
  </si>
  <si>
    <t>P0535</t>
  </si>
  <si>
    <t>P0536</t>
  </si>
  <si>
    <t>P0537</t>
  </si>
  <si>
    <t>2025-06-15</t>
  </si>
  <si>
    <t>P0538</t>
  </si>
  <si>
    <t>P0539</t>
  </si>
  <si>
    <t>P0540</t>
  </si>
  <si>
    <t>2025-06-16</t>
  </si>
  <si>
    <t>P0541</t>
  </si>
  <si>
    <t>P0542</t>
  </si>
  <si>
    <t>P0543</t>
  </si>
  <si>
    <t>2025-06-17</t>
  </si>
  <si>
    <t>P0544</t>
  </si>
  <si>
    <t>P0545</t>
  </si>
  <si>
    <t>P0546</t>
  </si>
  <si>
    <t>P0547</t>
  </si>
  <si>
    <t>2025-06-18</t>
  </si>
  <si>
    <t>P0548</t>
  </si>
  <si>
    <t>P0549</t>
  </si>
  <si>
    <t>P0550</t>
  </si>
  <si>
    <t>2025-06-19</t>
  </si>
  <si>
    <t>P0551</t>
  </si>
  <si>
    <t>P0552</t>
  </si>
  <si>
    <t>P0553</t>
  </si>
  <si>
    <t>P0554</t>
  </si>
  <si>
    <t>P0555</t>
  </si>
  <si>
    <t>P0556</t>
  </si>
  <si>
    <t>2025-06-20</t>
  </si>
  <si>
    <t>P0557</t>
  </si>
  <si>
    <t>P0558</t>
  </si>
  <si>
    <t>2025-06-21</t>
  </si>
  <si>
    <t>P0559</t>
  </si>
  <si>
    <t>P0560</t>
  </si>
  <si>
    <t>P0561</t>
  </si>
  <si>
    <t>P0562</t>
  </si>
  <si>
    <t>P0563</t>
  </si>
  <si>
    <t>P0564</t>
  </si>
  <si>
    <t>2025-06-22</t>
  </si>
  <si>
    <t>P0565</t>
  </si>
  <si>
    <t>P0566</t>
  </si>
  <si>
    <t>P0567</t>
  </si>
  <si>
    <t>P0568</t>
  </si>
  <si>
    <t>P0569</t>
  </si>
  <si>
    <t>2025-06-23</t>
  </si>
  <si>
    <t>P0570</t>
  </si>
  <si>
    <t>P0571</t>
  </si>
  <si>
    <t>2025-06-24</t>
  </si>
  <si>
    <t>P0572</t>
  </si>
  <si>
    <t>P0573</t>
  </si>
  <si>
    <t>P0574</t>
  </si>
  <si>
    <t>P0575</t>
  </si>
  <si>
    <t>2025-06-25</t>
  </si>
  <si>
    <t>P0576</t>
  </si>
  <si>
    <t>P0577</t>
  </si>
  <si>
    <t>P0578</t>
  </si>
  <si>
    <t>P0579</t>
  </si>
  <si>
    <t>P0580</t>
  </si>
  <si>
    <t>P0581</t>
  </si>
  <si>
    <t>2025-06-26</t>
  </si>
  <si>
    <t>P0582</t>
  </si>
  <si>
    <t>P0583</t>
  </si>
  <si>
    <t>P0584</t>
  </si>
  <si>
    <t>P0585</t>
  </si>
  <si>
    <t>2025-06-27</t>
  </si>
  <si>
    <t>P0586</t>
  </si>
  <si>
    <t>P0587</t>
  </si>
  <si>
    <t>P0588</t>
  </si>
  <si>
    <t>2025-06-28</t>
  </si>
  <si>
    <t>P0589</t>
  </si>
  <si>
    <t>2025-06-29</t>
  </si>
  <si>
    <t>P0590</t>
  </si>
  <si>
    <t>P0591</t>
  </si>
  <si>
    <t>2025-06-30</t>
  </si>
  <si>
    <t>P0592</t>
  </si>
  <si>
    <t>P0593</t>
  </si>
  <si>
    <t>P0594</t>
  </si>
  <si>
    <t>2025-07-01</t>
  </si>
  <si>
    <t>P0595</t>
  </si>
  <si>
    <t>P0596</t>
  </si>
  <si>
    <t>P0597</t>
  </si>
  <si>
    <t>P0598</t>
  </si>
  <si>
    <t>2025-07-02</t>
  </si>
  <si>
    <t>P0599</t>
  </si>
  <si>
    <t>P0600</t>
  </si>
  <si>
    <t>P0601</t>
  </si>
  <si>
    <t>2025-07-03</t>
  </si>
  <si>
    <t>P0602</t>
  </si>
  <si>
    <t>P0603</t>
  </si>
  <si>
    <t>P0604</t>
  </si>
  <si>
    <t>P0605</t>
  </si>
  <si>
    <t>P0606</t>
  </si>
  <si>
    <t>2025-07-04</t>
  </si>
  <si>
    <t>P0607</t>
  </si>
  <si>
    <t>P0608</t>
  </si>
  <si>
    <t>P0609</t>
  </si>
  <si>
    <t>2025-07-05</t>
  </si>
  <si>
    <t>P0610</t>
  </si>
  <si>
    <t>2025-07-06</t>
  </si>
  <si>
    <t>P0611</t>
  </si>
  <si>
    <t>P0612</t>
  </si>
  <si>
    <t>P0613</t>
  </si>
  <si>
    <t>2025-07-07</t>
  </si>
  <si>
    <t>P0614</t>
  </si>
  <si>
    <t>P0615</t>
  </si>
  <si>
    <t>P0616</t>
  </si>
  <si>
    <t>P0617</t>
  </si>
  <si>
    <t>2025-07-08</t>
  </si>
  <si>
    <t>P0618</t>
  </si>
  <si>
    <t>P0619</t>
  </si>
  <si>
    <t>P0620</t>
  </si>
  <si>
    <t>P0621</t>
  </si>
  <si>
    <t>P0622</t>
  </si>
  <si>
    <t>P0623</t>
  </si>
  <si>
    <t>2025-07-09</t>
  </si>
  <si>
    <t>P0624</t>
  </si>
  <si>
    <t>P0625</t>
  </si>
  <si>
    <t>P0626</t>
  </si>
  <si>
    <t>2025-07-11</t>
  </si>
  <si>
    <t>P0627</t>
  </si>
  <si>
    <t>P0628</t>
  </si>
  <si>
    <t>P0629</t>
  </si>
  <si>
    <t>2025-07-12</t>
  </si>
  <si>
    <t>P0630</t>
  </si>
  <si>
    <t>P0631</t>
  </si>
  <si>
    <t>P0632</t>
  </si>
  <si>
    <t>2025-07-13</t>
  </si>
  <si>
    <t>P0633</t>
  </si>
  <si>
    <t>P0634</t>
  </si>
  <si>
    <t>P0635</t>
  </si>
  <si>
    <t>P0636</t>
  </si>
  <si>
    <t>P0637</t>
  </si>
  <si>
    <t>2025-07-14</t>
  </si>
  <si>
    <t>P0638</t>
  </si>
  <si>
    <t>P0639</t>
  </si>
  <si>
    <t>2025-07-15</t>
  </si>
  <si>
    <t>P0640</t>
  </si>
  <si>
    <t>P0641</t>
  </si>
  <si>
    <t>P0642</t>
  </si>
  <si>
    <t>P0643</t>
  </si>
  <si>
    <t>2025-07-16</t>
  </si>
  <si>
    <t>P0644</t>
  </si>
  <si>
    <t>P0645</t>
  </si>
  <si>
    <t>2025-07-18</t>
  </si>
  <si>
    <t>P0646</t>
  </si>
  <si>
    <t>P0647</t>
  </si>
  <si>
    <t>P0648</t>
  </si>
  <si>
    <t>P0649</t>
  </si>
  <si>
    <t>P0650</t>
  </si>
  <si>
    <t>P0651</t>
  </si>
  <si>
    <t>2025-07-19</t>
  </si>
  <si>
    <t>P0652</t>
  </si>
  <si>
    <t>P0653</t>
  </si>
  <si>
    <t>2025-07-20</t>
  </si>
  <si>
    <t>P0654</t>
  </si>
  <si>
    <t>P0655</t>
  </si>
  <si>
    <t>2025-07-21</t>
  </si>
  <si>
    <t>P0656</t>
  </si>
  <si>
    <t>P0657</t>
  </si>
  <si>
    <t>P0658</t>
  </si>
  <si>
    <t>2025-07-22</t>
  </si>
  <si>
    <t>P0659</t>
  </si>
  <si>
    <t>P0660</t>
  </si>
  <si>
    <t>P0661</t>
  </si>
  <si>
    <t>2025-07-23</t>
  </si>
  <si>
    <t>P0662</t>
  </si>
  <si>
    <t>P0663</t>
  </si>
  <si>
    <t>2025-07-24</t>
  </si>
  <si>
    <t>P0664</t>
  </si>
  <si>
    <t>P0665</t>
  </si>
  <si>
    <t>P0666</t>
  </si>
  <si>
    <t>2025-07-25</t>
  </si>
  <si>
    <t>P0667</t>
  </si>
  <si>
    <t>P0668</t>
  </si>
  <si>
    <t>P0669</t>
  </si>
  <si>
    <t>P0670</t>
  </si>
  <si>
    <t>2025-07-26</t>
  </si>
  <si>
    <t>P0671</t>
  </si>
  <si>
    <t>P0672</t>
  </si>
  <si>
    <t>P0673</t>
  </si>
  <si>
    <t>P0674</t>
  </si>
  <si>
    <t>2025-07-27</t>
  </si>
  <si>
    <t>P0675</t>
  </si>
  <si>
    <t>P0676</t>
  </si>
  <si>
    <t>2025-07-28</t>
  </si>
  <si>
    <t>P0677</t>
  </si>
  <si>
    <t>P0678</t>
  </si>
  <si>
    <t>P0679</t>
  </si>
  <si>
    <t>2025-07-29</t>
  </si>
  <si>
    <t>P0680</t>
  </si>
  <si>
    <t>P0681</t>
  </si>
  <si>
    <t>P0682</t>
  </si>
  <si>
    <t>P0683</t>
  </si>
  <si>
    <t>Social Media Reach &amp; Engagement Dashboard</t>
  </si>
  <si>
    <t>Source: Raw Data sheet (simulated dataset, Jan–Jul 2025)</t>
  </si>
  <si>
    <t>Total Posts</t>
  </si>
  <si>
    <t>Total Reach</t>
  </si>
  <si>
    <t>Total Impressions</t>
  </si>
  <si>
    <t>Avg. Engagement Rate</t>
  </si>
  <si>
    <t>Performance by Platform</t>
  </si>
  <si>
    <t>Posts</t>
  </si>
  <si>
    <t>Avg Engagement Rate</t>
  </si>
  <si>
    <t>Performance by Post Type</t>
  </si>
  <si>
    <t>Notes &amp; Assumptions</t>
  </si>
  <si>
    <t>• This is a SIMULATED dataset created for practice/learning purposes — not real social media data.</t>
  </si>
  <si>
    <t>• Date range: Jan 1, 2025 – Jul 29, 2025 (210 days), across 5 platforms: Instagram, Twitter/X, Facebook, LinkedIn, TikTok.</t>
  </si>
  <si>
    <t>• Followers at Posting: starting follower counts grow gradually over time with random daily variation.</t>
  </si>
  <si>
    <t>• Reach: modeled as a platform-specific % of followers (varies by platform algorithm behavior assumptions).</t>
  </si>
  <si>
    <t>• Impressions: always &gt;= Reach (assumes some users see a post multiple times).</t>
  </si>
  <si>
    <t>• Engagement Rate (col N) = Total Engagements / Reach.</t>
  </si>
  <si>
    <t>• Reach Rate (col O) = Reach / Followers at Posting.</t>
  </si>
  <si>
    <t>• Video/Reel content types were given a higher engagement multiplier, and weekend posts a small boost, to mimic realistic patterns for analysis practice.</t>
  </si>
  <si>
    <t>• Replace this data with your own export (Meta Business Suite, X Analytics, LinkedIn Analytics, TikTok Analytics, etc.) to run the same analysis on real numbers — just keep the column headers identical.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</si>
</sst>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Reach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Dashboard!$D$10</c:f>
              <c:strCache>
                <c:ptCount val="1"/>
                <c:pt idx="0">
                  <c:v>Total Reach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TikTok</c:v>
                </c:pt>
                <c:pt idx="4">
                  <c:v>Twitter/X</c:v>
                </c:pt>
              </c:strCache>
            </c:strRef>
          </c:cat>
          <c:val>
            <c:numRef>
              <c:f>Dashboard!$D$11:$D$15</c:f>
              <c:numCache>
                <c:formatCode>#,##0</c:formatCode>
                <c:ptCount val="5"/>
                <c:pt idx="0">
                  <c:v>737385</c:v>
                </c:pt>
                <c:pt idx="1">
                  <c:v>1281120</c:v>
                </c:pt>
                <c:pt idx="2">
                  <c:v>377095</c:v>
                </c:pt>
                <c:pt idx="3">
                  <c:v>4265653</c:v>
                </c:pt>
                <c:pt idx="4">
                  <c:v>577836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E-48BC-83AC-C21A9640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70881"/>
        <c:axId val="85599683"/>
      </c:barChart>
      <c:catAx>
        <c:axId val="429708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99683"/>
        <c:crosses val="autoZero"/>
        <c:auto val="1"/>
        <c:lblAlgn val="ctr"/>
        <c:lblOffset val="100"/>
        <c:noMultiLvlLbl val="0"/>
      </c:catAx>
      <c:valAx>
        <c:axId val="85599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708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Engagement Rate by Post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Dashboard!$G$18</c:f>
              <c:strCache>
                <c:ptCount val="1"/>
                <c:pt idx="0">
                  <c:v>Avg Engagement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Dashboard!$B$19:$B$24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Link</c:v>
                </c:pt>
                <c:pt idx="3">
                  <c:v>Reel/Short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Dashboard!$G$19:$G$24</c:f>
              <c:numCache>
                <c:formatCode>0.0%</c:formatCode>
                <c:ptCount val="6"/>
                <c:pt idx="0">
                  <c:v>4.7356974586910815E-2</c:v>
                </c:pt>
                <c:pt idx="1">
                  <c:v>3.7374009974837356E-2</c:v>
                </c:pt>
                <c:pt idx="2">
                  <c:v>2.3601610140457644E-2</c:v>
                </c:pt>
                <c:pt idx="3">
                  <c:v>6.1654485240636422E-2</c:v>
                </c:pt>
                <c:pt idx="4">
                  <c:v>2.6493621827751852E-2</c:v>
                </c:pt>
                <c:pt idx="5">
                  <c:v>4.9367132448049848E-2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3-4596-BC51-D084DD50F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02295"/>
        <c:axId val="3028355"/>
      </c:barChart>
      <c:catAx>
        <c:axId val="3560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8355"/>
        <c:crosses val="autoZero"/>
        <c:auto val="1"/>
        <c:lblAlgn val="ctr"/>
        <c:lblOffset val="100"/>
        <c:noMultiLvlLbl val="0"/>
      </c:catAx>
      <c:valAx>
        <c:axId val="3028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02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160920</xdr:rowOff>
    </xdr:from>
    <xdr:to>
      <xdr:col>17</xdr:col>
      <xdr:colOff>255960</xdr:colOff>
      <xdr:row>17</xdr:row>
      <xdr:rowOff>242640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15480</xdr:rowOff>
    </xdr:from>
    <xdr:to>
      <xdr:col>17</xdr:col>
      <xdr:colOff>255960</xdr:colOff>
      <xdr:row>35</xdr:row>
      <xdr:rowOff>16560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O684" totalsRowShown="0">
  <autoFilter ref="A1:O684" xr:uid="{00000000-0009-0000-0100-000001000000}"/>
  <tableColumns count="15">
    <tableColumn id="1" xr3:uid="{00000000-0010-0000-0000-000001000000}" name="Post ID"/>
    <tableColumn id="2" xr3:uid="{00000000-0010-0000-0000-000002000000}" name="Date"/>
    <tableColumn id="3" xr3:uid="{00000000-0010-0000-0000-000003000000}" name="Post Time"/>
    <tableColumn id="4" xr3:uid="{00000000-0010-0000-0000-000004000000}" name="Platform"/>
    <tableColumn id="5" xr3:uid="{00000000-0010-0000-0000-000005000000}" name="Post Type"/>
    <tableColumn id="6" xr3:uid="{00000000-0010-0000-0000-000006000000}" name="Content Category"/>
    <tableColumn id="7" xr3:uid="{00000000-0010-0000-0000-000007000000}" name="Followers at Posting"/>
    <tableColumn id="8" xr3:uid="{00000000-0010-0000-0000-000008000000}" name="Reach"/>
    <tableColumn id="9" xr3:uid="{00000000-0010-0000-0000-000009000000}" name="Impressions"/>
    <tableColumn id="10" xr3:uid="{00000000-0010-0000-0000-00000A000000}" name="Likes"/>
    <tableColumn id="11" xr3:uid="{00000000-0010-0000-0000-00000B000000}" name="Comments"/>
    <tableColumn id="12" xr3:uid="{00000000-0010-0000-0000-00000C000000}" name="Shares"/>
    <tableColumn id="13" xr3:uid="{00000000-0010-0000-0000-00000D000000}" name="Total Engagements"/>
    <tableColumn id="14" xr3:uid="{00000000-0010-0000-0000-00000E000000}" name="Engagement Rate"/>
    <tableColumn id="15" xr3:uid="{00000000-0010-0000-0000-00000F000000}" name="Reach Rate (% of Follower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12" customWidth="1"/>
    <col min="5" max="5" width="13" customWidth="1"/>
    <col min="6" max="6" width="20" customWidth="1"/>
    <col min="7" max="7" width="16" customWidth="1"/>
    <col min="8" max="8" width="10" customWidth="1"/>
    <col min="9" max="9" width="12" customWidth="1"/>
    <col min="10" max="10" width="8" customWidth="1"/>
    <col min="11" max="11" width="10" customWidth="1"/>
    <col min="12" max="12" width="8" customWidth="1"/>
    <col min="13" max="13" width="14" customWidth="1"/>
    <col min="14" max="14" width="13" customWidth="1"/>
    <col min="15" max="15" width="18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18372</v>
      </c>
      <c r="H2" s="3">
        <v>4323</v>
      </c>
      <c r="I2" s="3">
        <v>7455</v>
      </c>
      <c r="J2" s="3">
        <v>75</v>
      </c>
      <c r="K2" s="3">
        <v>5</v>
      </c>
      <c r="L2" s="3">
        <v>26</v>
      </c>
      <c r="M2" s="3">
        <f t="shared" ref="M2:M65" si="0">SUM(J2:L2)</f>
        <v>106</v>
      </c>
      <c r="N2" s="4">
        <f t="shared" ref="N2:N65" si="1">IFERROR(M2/H2,0)</f>
        <v>2.452000925283368E-2</v>
      </c>
      <c r="O2" s="4">
        <f t="shared" ref="O2:O65" si="2">IFERROR(H2/G2,0)</f>
        <v>0.23530372305682559</v>
      </c>
    </row>
    <row r="3" spans="1:15" x14ac:dyDescent="0.3">
      <c r="A3" s="2" t="s">
        <v>21</v>
      </c>
      <c r="B3" s="2" t="s">
        <v>16</v>
      </c>
      <c r="C3" s="2" t="s">
        <v>22</v>
      </c>
      <c r="D3" s="2" t="s">
        <v>23</v>
      </c>
      <c r="E3" s="2" t="s">
        <v>24</v>
      </c>
      <c r="F3" s="2" t="s">
        <v>25</v>
      </c>
      <c r="G3" s="3">
        <v>31267</v>
      </c>
      <c r="H3" s="3">
        <v>5571</v>
      </c>
      <c r="I3" s="3">
        <v>7764</v>
      </c>
      <c r="J3" s="3">
        <v>94</v>
      </c>
      <c r="K3" s="3">
        <v>18</v>
      </c>
      <c r="L3" s="3">
        <v>25</v>
      </c>
      <c r="M3" s="3">
        <f t="shared" si="0"/>
        <v>137</v>
      </c>
      <c r="N3" s="4">
        <f t="shared" si="1"/>
        <v>2.4591635253993896E-2</v>
      </c>
      <c r="O3" s="4">
        <f t="shared" si="2"/>
        <v>0.17817507276041833</v>
      </c>
    </row>
    <row r="4" spans="1:15" x14ac:dyDescent="0.3">
      <c r="A4" s="2" t="s">
        <v>26</v>
      </c>
      <c r="B4" s="2" t="s">
        <v>16</v>
      </c>
      <c r="C4" s="2" t="s">
        <v>27</v>
      </c>
      <c r="D4" s="2" t="s">
        <v>28</v>
      </c>
      <c r="E4" s="2" t="s">
        <v>29</v>
      </c>
      <c r="F4" s="2" t="s">
        <v>30</v>
      </c>
      <c r="G4" s="3">
        <v>41315</v>
      </c>
      <c r="H4" s="3">
        <v>12926</v>
      </c>
      <c r="I4" s="3">
        <v>21886</v>
      </c>
      <c r="J4" s="3">
        <v>504</v>
      </c>
      <c r="K4" s="3">
        <v>80</v>
      </c>
      <c r="L4" s="3">
        <v>70</v>
      </c>
      <c r="M4" s="3">
        <f t="shared" si="0"/>
        <v>654</v>
      </c>
      <c r="N4" s="4">
        <f t="shared" si="1"/>
        <v>5.0595698591985143E-2</v>
      </c>
      <c r="O4" s="4">
        <f t="shared" si="2"/>
        <v>0.31286457703013432</v>
      </c>
    </row>
    <row r="5" spans="1:15" x14ac:dyDescent="0.3">
      <c r="A5" s="2" t="s">
        <v>31</v>
      </c>
      <c r="B5" s="2" t="s">
        <v>32</v>
      </c>
      <c r="C5" s="2" t="s">
        <v>17</v>
      </c>
      <c r="D5" s="2" t="s">
        <v>33</v>
      </c>
      <c r="E5" s="2" t="s">
        <v>34</v>
      </c>
      <c r="F5" s="2" t="s">
        <v>35</v>
      </c>
      <c r="G5" s="3">
        <v>24867</v>
      </c>
      <c r="H5" s="3">
        <v>8628</v>
      </c>
      <c r="I5" s="3">
        <v>14695</v>
      </c>
      <c r="J5" s="3">
        <v>266</v>
      </c>
      <c r="K5" s="3">
        <v>19</v>
      </c>
      <c r="L5" s="3">
        <v>68</v>
      </c>
      <c r="M5" s="3">
        <f t="shared" si="0"/>
        <v>353</v>
      </c>
      <c r="N5" s="4">
        <f t="shared" si="1"/>
        <v>4.0913305516921648E-2</v>
      </c>
      <c r="O5" s="4">
        <f t="shared" si="2"/>
        <v>0.34696585836650984</v>
      </c>
    </row>
    <row r="6" spans="1:15" x14ac:dyDescent="0.3">
      <c r="A6" s="2" t="s">
        <v>36</v>
      </c>
      <c r="B6" s="2" t="s">
        <v>37</v>
      </c>
      <c r="C6" s="2" t="s">
        <v>22</v>
      </c>
      <c r="D6" s="2" t="s">
        <v>33</v>
      </c>
      <c r="E6" s="2" t="s">
        <v>29</v>
      </c>
      <c r="F6" s="2" t="s">
        <v>20</v>
      </c>
      <c r="G6" s="3">
        <v>24460</v>
      </c>
      <c r="H6" s="3">
        <v>5786</v>
      </c>
      <c r="I6" s="3">
        <v>7445</v>
      </c>
      <c r="J6" s="3">
        <v>295</v>
      </c>
      <c r="K6" s="3">
        <v>43</v>
      </c>
      <c r="L6" s="3">
        <v>58</v>
      </c>
      <c r="M6" s="3">
        <f t="shared" si="0"/>
        <v>396</v>
      </c>
      <c r="N6" s="4">
        <f t="shared" si="1"/>
        <v>6.8441064638783272E-2</v>
      </c>
      <c r="O6" s="4">
        <f t="shared" si="2"/>
        <v>0.2365494685200327</v>
      </c>
    </row>
    <row r="7" spans="1:15" x14ac:dyDescent="0.3">
      <c r="A7" s="2" t="s">
        <v>38</v>
      </c>
      <c r="B7" s="2" t="s">
        <v>37</v>
      </c>
      <c r="C7" s="2" t="s">
        <v>39</v>
      </c>
      <c r="D7" s="2" t="s">
        <v>18</v>
      </c>
      <c r="E7" s="2" t="s">
        <v>40</v>
      </c>
      <c r="F7" s="2" t="s">
        <v>41</v>
      </c>
      <c r="G7" s="3">
        <v>18097</v>
      </c>
      <c r="H7" s="3">
        <v>5159</v>
      </c>
      <c r="I7" s="3">
        <v>8160</v>
      </c>
      <c r="J7" s="3">
        <v>143</v>
      </c>
      <c r="K7" s="3">
        <v>26</v>
      </c>
      <c r="L7" s="3">
        <v>36</v>
      </c>
      <c r="M7" s="3">
        <f t="shared" si="0"/>
        <v>205</v>
      </c>
      <c r="N7" s="4">
        <f t="shared" si="1"/>
        <v>3.9736383019965106E-2</v>
      </c>
      <c r="O7" s="4">
        <f t="shared" si="2"/>
        <v>0.2850748742885561</v>
      </c>
    </row>
    <row r="8" spans="1:15" x14ac:dyDescent="0.3">
      <c r="A8" s="2" t="s">
        <v>42</v>
      </c>
      <c r="B8" s="2" t="s">
        <v>37</v>
      </c>
      <c r="C8" s="2" t="s">
        <v>43</v>
      </c>
      <c r="D8" s="2" t="s">
        <v>23</v>
      </c>
      <c r="E8" s="2" t="s">
        <v>29</v>
      </c>
      <c r="F8" s="2" t="s">
        <v>41</v>
      </c>
      <c r="G8" s="3">
        <v>30822</v>
      </c>
      <c r="H8" s="3">
        <v>3376</v>
      </c>
      <c r="I8" s="3">
        <v>5941</v>
      </c>
      <c r="J8" s="3">
        <v>153</v>
      </c>
      <c r="K8" s="3">
        <v>25</v>
      </c>
      <c r="L8" s="3">
        <v>42</v>
      </c>
      <c r="M8" s="3">
        <f t="shared" si="0"/>
        <v>220</v>
      </c>
      <c r="N8" s="4">
        <f t="shared" si="1"/>
        <v>6.5165876777251192E-2</v>
      </c>
      <c r="O8" s="4">
        <f t="shared" si="2"/>
        <v>0.10953215235870482</v>
      </c>
    </row>
    <row r="9" spans="1:15" x14ac:dyDescent="0.3">
      <c r="A9" s="2" t="s">
        <v>44</v>
      </c>
      <c r="B9" s="2" t="s">
        <v>37</v>
      </c>
      <c r="C9" s="2" t="s">
        <v>45</v>
      </c>
      <c r="D9" s="2" t="s">
        <v>23</v>
      </c>
      <c r="E9" s="2" t="s">
        <v>46</v>
      </c>
      <c r="F9" s="2" t="s">
        <v>47</v>
      </c>
      <c r="G9" s="3">
        <v>30667</v>
      </c>
      <c r="H9" s="3">
        <v>3052</v>
      </c>
      <c r="I9" s="3">
        <v>4948</v>
      </c>
      <c r="J9" s="3">
        <v>54</v>
      </c>
      <c r="K9" s="3">
        <v>6</v>
      </c>
      <c r="L9" s="3">
        <v>11</v>
      </c>
      <c r="M9" s="3">
        <f t="shared" si="0"/>
        <v>71</v>
      </c>
      <c r="N9" s="4">
        <f t="shared" si="1"/>
        <v>2.326343381389253E-2</v>
      </c>
      <c r="O9" s="4">
        <f t="shared" si="2"/>
        <v>9.952065738415887E-2</v>
      </c>
    </row>
    <row r="10" spans="1:15" x14ac:dyDescent="0.3">
      <c r="A10" s="2" t="s">
        <v>48</v>
      </c>
      <c r="B10" s="2" t="s">
        <v>37</v>
      </c>
      <c r="C10" s="2" t="s">
        <v>49</v>
      </c>
      <c r="D10" s="2" t="s">
        <v>50</v>
      </c>
      <c r="E10" s="2" t="s">
        <v>19</v>
      </c>
      <c r="F10" s="2" t="s">
        <v>47</v>
      </c>
      <c r="G10" s="3">
        <v>9674</v>
      </c>
      <c r="H10" s="3">
        <v>1265</v>
      </c>
      <c r="I10" s="3">
        <v>1488</v>
      </c>
      <c r="J10" s="3">
        <v>54</v>
      </c>
      <c r="K10" s="3">
        <v>6</v>
      </c>
      <c r="L10" s="3">
        <v>11</v>
      </c>
      <c r="M10" s="3">
        <f t="shared" si="0"/>
        <v>71</v>
      </c>
      <c r="N10" s="4">
        <f t="shared" si="1"/>
        <v>5.6126482213438737E-2</v>
      </c>
      <c r="O10" s="4">
        <f t="shared" si="2"/>
        <v>0.13076286954724003</v>
      </c>
    </row>
    <row r="11" spans="1:15" x14ac:dyDescent="0.3">
      <c r="A11" s="2" t="s">
        <v>51</v>
      </c>
      <c r="B11" s="2" t="s">
        <v>37</v>
      </c>
      <c r="C11" s="2" t="s">
        <v>52</v>
      </c>
      <c r="D11" s="2" t="s">
        <v>28</v>
      </c>
      <c r="E11" s="2" t="s">
        <v>40</v>
      </c>
      <c r="F11" s="2" t="s">
        <v>35</v>
      </c>
      <c r="G11" s="3">
        <v>42945</v>
      </c>
      <c r="H11" s="3">
        <v>34764</v>
      </c>
      <c r="I11" s="3">
        <v>38519</v>
      </c>
      <c r="J11" s="3">
        <v>1984</v>
      </c>
      <c r="K11" s="3">
        <v>273</v>
      </c>
      <c r="L11" s="3">
        <v>381</v>
      </c>
      <c r="M11" s="3">
        <f t="shared" si="0"/>
        <v>2638</v>
      </c>
      <c r="N11" s="4">
        <f t="shared" si="1"/>
        <v>7.5883097457139573E-2</v>
      </c>
      <c r="O11" s="4">
        <f t="shared" si="2"/>
        <v>0.80950052392595184</v>
      </c>
    </row>
    <row r="12" spans="1:15" x14ac:dyDescent="0.3">
      <c r="A12" s="2" t="s">
        <v>53</v>
      </c>
      <c r="B12" s="2" t="s">
        <v>54</v>
      </c>
      <c r="C12" s="2" t="s">
        <v>55</v>
      </c>
      <c r="D12" s="2" t="s">
        <v>18</v>
      </c>
      <c r="E12" s="2" t="s">
        <v>19</v>
      </c>
      <c r="F12" s="2" t="s">
        <v>47</v>
      </c>
      <c r="G12" s="3">
        <v>17934</v>
      </c>
      <c r="H12" s="3">
        <v>4383</v>
      </c>
      <c r="I12" s="3">
        <v>7029</v>
      </c>
      <c r="J12" s="3">
        <v>291</v>
      </c>
      <c r="K12" s="3">
        <v>24</v>
      </c>
      <c r="L12" s="3">
        <v>87</v>
      </c>
      <c r="M12" s="3">
        <f t="shared" si="0"/>
        <v>402</v>
      </c>
      <c r="N12" s="4">
        <f t="shared" si="1"/>
        <v>9.1718001368925398E-2</v>
      </c>
      <c r="O12" s="4">
        <f t="shared" si="2"/>
        <v>0.24439611910337905</v>
      </c>
    </row>
    <row r="13" spans="1:15" x14ac:dyDescent="0.3">
      <c r="A13" s="2" t="s">
        <v>56</v>
      </c>
      <c r="B13" s="2" t="s">
        <v>54</v>
      </c>
      <c r="C13" s="2" t="s">
        <v>39</v>
      </c>
      <c r="D13" s="2" t="s">
        <v>23</v>
      </c>
      <c r="E13" s="2" t="s">
        <v>24</v>
      </c>
      <c r="F13" s="2" t="s">
        <v>25</v>
      </c>
      <c r="G13" s="3">
        <v>30734</v>
      </c>
      <c r="H13" s="3">
        <v>5739</v>
      </c>
      <c r="I13" s="3">
        <v>8479</v>
      </c>
      <c r="J13" s="3">
        <v>150</v>
      </c>
      <c r="K13" s="3">
        <v>19</v>
      </c>
      <c r="L13" s="3">
        <v>63</v>
      </c>
      <c r="M13" s="3">
        <f t="shared" si="0"/>
        <v>232</v>
      </c>
      <c r="N13" s="4">
        <f t="shared" si="1"/>
        <v>4.0425161177905559E-2</v>
      </c>
      <c r="O13" s="4">
        <f t="shared" si="2"/>
        <v>0.18673130734691221</v>
      </c>
    </row>
    <row r="14" spans="1:15" x14ac:dyDescent="0.3">
      <c r="A14" s="2" t="s">
        <v>57</v>
      </c>
      <c r="B14" s="2" t="s">
        <v>54</v>
      </c>
      <c r="C14" s="2" t="s">
        <v>22</v>
      </c>
      <c r="D14" s="2" t="s">
        <v>50</v>
      </c>
      <c r="E14" s="2" t="s">
        <v>29</v>
      </c>
      <c r="F14" s="2" t="s">
        <v>25</v>
      </c>
      <c r="G14" s="3">
        <v>9678</v>
      </c>
      <c r="H14" s="3">
        <v>3115</v>
      </c>
      <c r="I14" s="3">
        <v>5491</v>
      </c>
      <c r="J14" s="3">
        <v>52</v>
      </c>
      <c r="K14" s="3">
        <v>10</v>
      </c>
      <c r="L14" s="3">
        <v>18</v>
      </c>
      <c r="M14" s="3">
        <f t="shared" si="0"/>
        <v>80</v>
      </c>
      <c r="N14" s="4">
        <f t="shared" si="1"/>
        <v>2.5682182985553772E-2</v>
      </c>
      <c r="O14" s="4">
        <f t="shared" si="2"/>
        <v>0.32186402149204379</v>
      </c>
    </row>
    <row r="15" spans="1:15" x14ac:dyDescent="0.3">
      <c r="A15" s="2" t="s">
        <v>58</v>
      </c>
      <c r="B15" s="2" t="s">
        <v>54</v>
      </c>
      <c r="C15" s="2" t="s">
        <v>52</v>
      </c>
      <c r="D15" s="2" t="s">
        <v>28</v>
      </c>
      <c r="E15" s="2" t="s">
        <v>24</v>
      </c>
      <c r="F15" s="2" t="s">
        <v>20</v>
      </c>
      <c r="G15" s="3">
        <v>41829</v>
      </c>
      <c r="H15" s="3">
        <v>34177</v>
      </c>
      <c r="I15" s="3">
        <v>47717</v>
      </c>
      <c r="J15" s="3">
        <v>515</v>
      </c>
      <c r="K15" s="3">
        <v>47</v>
      </c>
      <c r="L15" s="3">
        <v>117</v>
      </c>
      <c r="M15" s="3">
        <f t="shared" si="0"/>
        <v>679</v>
      </c>
      <c r="N15" s="4">
        <f t="shared" si="1"/>
        <v>1.9867162126576351E-2</v>
      </c>
      <c r="O15" s="4">
        <f t="shared" si="2"/>
        <v>0.81706471586698226</v>
      </c>
    </row>
    <row r="16" spans="1:15" x14ac:dyDescent="0.3">
      <c r="A16" s="2" t="s">
        <v>59</v>
      </c>
      <c r="B16" s="2" t="s">
        <v>60</v>
      </c>
      <c r="C16" s="2" t="s">
        <v>39</v>
      </c>
      <c r="D16" s="2" t="s">
        <v>33</v>
      </c>
      <c r="E16" s="2" t="s">
        <v>29</v>
      </c>
      <c r="F16" s="2" t="s">
        <v>47</v>
      </c>
      <c r="G16" s="3">
        <v>25070</v>
      </c>
      <c r="H16" s="3">
        <v>7568</v>
      </c>
      <c r="I16" s="3">
        <v>9638</v>
      </c>
      <c r="J16" s="3">
        <v>125</v>
      </c>
      <c r="K16" s="3">
        <v>18</v>
      </c>
      <c r="L16" s="3">
        <v>28</v>
      </c>
      <c r="M16" s="3">
        <f t="shared" si="0"/>
        <v>171</v>
      </c>
      <c r="N16" s="4">
        <f t="shared" si="1"/>
        <v>2.2595137420718815E-2</v>
      </c>
      <c r="O16" s="4">
        <f t="shared" si="2"/>
        <v>0.30187475069804548</v>
      </c>
    </row>
    <row r="17" spans="1:15" x14ac:dyDescent="0.3">
      <c r="A17" s="2" t="s">
        <v>61</v>
      </c>
      <c r="B17" s="2" t="s">
        <v>60</v>
      </c>
      <c r="C17" s="2" t="s">
        <v>45</v>
      </c>
      <c r="D17" s="2" t="s">
        <v>18</v>
      </c>
      <c r="E17" s="2" t="s">
        <v>19</v>
      </c>
      <c r="F17" s="2" t="s">
        <v>30</v>
      </c>
      <c r="G17" s="3">
        <v>18628</v>
      </c>
      <c r="H17" s="3">
        <v>5065</v>
      </c>
      <c r="I17" s="3">
        <v>5822</v>
      </c>
      <c r="J17" s="3">
        <v>136</v>
      </c>
      <c r="K17" s="3">
        <v>12</v>
      </c>
      <c r="L17" s="3">
        <v>52</v>
      </c>
      <c r="M17" s="3">
        <f t="shared" si="0"/>
        <v>200</v>
      </c>
      <c r="N17" s="4">
        <f t="shared" si="1"/>
        <v>3.9486673247778874E-2</v>
      </c>
      <c r="O17" s="4">
        <f t="shared" si="2"/>
        <v>0.27190251234700452</v>
      </c>
    </row>
    <row r="18" spans="1:15" x14ac:dyDescent="0.3">
      <c r="A18" s="2" t="s">
        <v>62</v>
      </c>
      <c r="B18" s="2" t="s">
        <v>60</v>
      </c>
      <c r="C18" s="2" t="s">
        <v>55</v>
      </c>
      <c r="D18" s="2" t="s">
        <v>50</v>
      </c>
      <c r="E18" s="2" t="s">
        <v>40</v>
      </c>
      <c r="F18" s="2" t="s">
        <v>25</v>
      </c>
      <c r="G18" s="3">
        <v>9710</v>
      </c>
      <c r="H18" s="3">
        <v>2636</v>
      </c>
      <c r="I18" s="3">
        <v>3553</v>
      </c>
      <c r="J18" s="3">
        <v>113</v>
      </c>
      <c r="K18" s="3">
        <v>19</v>
      </c>
      <c r="L18" s="3">
        <v>40</v>
      </c>
      <c r="M18" s="3">
        <f t="shared" si="0"/>
        <v>172</v>
      </c>
      <c r="N18" s="4">
        <f t="shared" si="1"/>
        <v>6.525037936267071E-2</v>
      </c>
      <c r="O18" s="4">
        <f t="shared" si="2"/>
        <v>0.2714727085478888</v>
      </c>
    </row>
    <row r="19" spans="1:15" x14ac:dyDescent="0.3">
      <c r="A19" s="2" t="s">
        <v>63</v>
      </c>
      <c r="B19" s="2" t="s">
        <v>60</v>
      </c>
      <c r="C19" s="2" t="s">
        <v>64</v>
      </c>
      <c r="D19" s="2" t="s">
        <v>28</v>
      </c>
      <c r="E19" s="2" t="s">
        <v>29</v>
      </c>
      <c r="F19" s="2" t="s">
        <v>30</v>
      </c>
      <c r="G19" s="3">
        <v>41877</v>
      </c>
      <c r="H19" s="3">
        <v>15646</v>
      </c>
      <c r="I19" s="3">
        <v>22123</v>
      </c>
      <c r="J19" s="3">
        <v>484</v>
      </c>
      <c r="K19" s="3">
        <v>100</v>
      </c>
      <c r="L19" s="3">
        <v>121</v>
      </c>
      <c r="M19" s="3">
        <f t="shared" si="0"/>
        <v>705</v>
      </c>
      <c r="N19" s="4">
        <f t="shared" si="1"/>
        <v>4.5059440112488816E-2</v>
      </c>
      <c r="O19" s="4">
        <f t="shared" si="2"/>
        <v>0.37361797645485589</v>
      </c>
    </row>
    <row r="20" spans="1:15" x14ac:dyDescent="0.3">
      <c r="A20" s="2" t="s">
        <v>65</v>
      </c>
      <c r="B20" s="2" t="s">
        <v>66</v>
      </c>
      <c r="C20" s="2" t="s">
        <v>43</v>
      </c>
      <c r="D20" s="2" t="s">
        <v>23</v>
      </c>
      <c r="E20" s="2" t="s">
        <v>24</v>
      </c>
      <c r="F20" s="2" t="s">
        <v>67</v>
      </c>
      <c r="G20" s="3">
        <v>31865</v>
      </c>
      <c r="H20" s="3">
        <v>6681</v>
      </c>
      <c r="I20" s="3">
        <v>11318</v>
      </c>
      <c r="J20" s="3">
        <v>75</v>
      </c>
      <c r="K20" s="3">
        <v>7</v>
      </c>
      <c r="L20" s="3">
        <v>23</v>
      </c>
      <c r="M20" s="3">
        <f t="shared" si="0"/>
        <v>105</v>
      </c>
      <c r="N20" s="4">
        <f t="shared" si="1"/>
        <v>1.5716210148181409E-2</v>
      </c>
      <c r="O20" s="4">
        <f t="shared" si="2"/>
        <v>0.20966577749882315</v>
      </c>
    </row>
    <row r="21" spans="1:15" x14ac:dyDescent="0.3">
      <c r="A21" s="2" t="s">
        <v>68</v>
      </c>
      <c r="B21" s="2" t="s">
        <v>66</v>
      </c>
      <c r="C21" s="2" t="s">
        <v>55</v>
      </c>
      <c r="D21" s="2" t="s">
        <v>28</v>
      </c>
      <c r="E21" s="2" t="s">
        <v>40</v>
      </c>
      <c r="F21" s="2" t="s">
        <v>35</v>
      </c>
      <c r="G21" s="3">
        <v>43100</v>
      </c>
      <c r="H21" s="3">
        <v>32770</v>
      </c>
      <c r="I21" s="3">
        <v>42590</v>
      </c>
      <c r="J21" s="3">
        <v>1845</v>
      </c>
      <c r="K21" s="3">
        <v>311</v>
      </c>
      <c r="L21" s="3">
        <v>274</v>
      </c>
      <c r="M21" s="3">
        <f t="shared" si="0"/>
        <v>2430</v>
      </c>
      <c r="N21" s="4">
        <f t="shared" si="1"/>
        <v>7.4153188892279523E-2</v>
      </c>
      <c r="O21" s="4">
        <f t="shared" si="2"/>
        <v>0.76032482598607887</v>
      </c>
    </row>
    <row r="22" spans="1:15" x14ac:dyDescent="0.3">
      <c r="A22" s="2" t="s">
        <v>69</v>
      </c>
      <c r="B22" s="2" t="s">
        <v>66</v>
      </c>
      <c r="C22" s="2" t="s">
        <v>39</v>
      </c>
      <c r="D22" s="2" t="s">
        <v>28</v>
      </c>
      <c r="E22" s="2" t="s">
        <v>46</v>
      </c>
      <c r="F22" s="2" t="s">
        <v>47</v>
      </c>
      <c r="G22" s="3">
        <v>41792</v>
      </c>
      <c r="H22" s="3">
        <v>18508</v>
      </c>
      <c r="I22" s="3">
        <v>32909</v>
      </c>
      <c r="J22" s="3">
        <v>332</v>
      </c>
      <c r="K22" s="3">
        <v>56</v>
      </c>
      <c r="L22" s="3">
        <v>67</v>
      </c>
      <c r="M22" s="3">
        <f t="shared" si="0"/>
        <v>455</v>
      </c>
      <c r="N22" s="4">
        <f t="shared" si="1"/>
        <v>2.4583963691376703E-2</v>
      </c>
      <c r="O22" s="4">
        <f t="shared" si="2"/>
        <v>0.44285987748851458</v>
      </c>
    </row>
    <row r="23" spans="1:15" x14ac:dyDescent="0.3">
      <c r="A23" s="2" t="s">
        <v>70</v>
      </c>
      <c r="B23" s="2" t="s">
        <v>71</v>
      </c>
      <c r="C23" s="2" t="s">
        <v>43</v>
      </c>
      <c r="D23" s="2" t="s">
        <v>33</v>
      </c>
      <c r="E23" s="2" t="s">
        <v>24</v>
      </c>
      <c r="F23" s="2" t="s">
        <v>20</v>
      </c>
      <c r="G23" s="3">
        <v>24325</v>
      </c>
      <c r="H23" s="3">
        <v>7713</v>
      </c>
      <c r="I23" s="3">
        <v>13080</v>
      </c>
      <c r="J23" s="3">
        <v>64</v>
      </c>
      <c r="K23" s="3">
        <v>13</v>
      </c>
      <c r="L23" s="3">
        <v>20</v>
      </c>
      <c r="M23" s="3">
        <f t="shared" si="0"/>
        <v>97</v>
      </c>
      <c r="N23" s="4">
        <f t="shared" si="1"/>
        <v>1.2576170102424478E-2</v>
      </c>
      <c r="O23" s="4">
        <f t="shared" si="2"/>
        <v>0.31708119218910585</v>
      </c>
    </row>
    <row r="24" spans="1:15" x14ac:dyDescent="0.3">
      <c r="A24" s="2" t="s">
        <v>72</v>
      </c>
      <c r="B24" s="2" t="s">
        <v>71</v>
      </c>
      <c r="C24" s="2" t="s">
        <v>73</v>
      </c>
      <c r="D24" s="2" t="s">
        <v>18</v>
      </c>
      <c r="E24" s="2" t="s">
        <v>19</v>
      </c>
      <c r="F24" s="2" t="s">
        <v>67</v>
      </c>
      <c r="G24" s="3">
        <v>18484</v>
      </c>
      <c r="H24" s="3">
        <v>3398</v>
      </c>
      <c r="I24" s="3">
        <v>5126</v>
      </c>
      <c r="J24" s="3">
        <v>134</v>
      </c>
      <c r="K24" s="3">
        <v>11</v>
      </c>
      <c r="L24" s="3">
        <v>25</v>
      </c>
      <c r="M24" s="3">
        <f t="shared" si="0"/>
        <v>170</v>
      </c>
      <c r="N24" s="4">
        <f t="shared" si="1"/>
        <v>5.0029429075927015E-2</v>
      </c>
      <c r="O24" s="4">
        <f t="shared" si="2"/>
        <v>0.183834667820818</v>
      </c>
    </row>
    <row r="25" spans="1:15" x14ac:dyDescent="0.3">
      <c r="A25" s="2" t="s">
        <v>74</v>
      </c>
      <c r="B25" s="2" t="s">
        <v>71</v>
      </c>
      <c r="C25" s="2" t="s">
        <v>49</v>
      </c>
      <c r="D25" s="2" t="s">
        <v>23</v>
      </c>
      <c r="E25" s="2" t="s">
        <v>19</v>
      </c>
      <c r="F25" s="2" t="s">
        <v>35</v>
      </c>
      <c r="G25" s="3">
        <v>31281</v>
      </c>
      <c r="H25" s="3">
        <v>6570</v>
      </c>
      <c r="I25" s="3">
        <v>11530</v>
      </c>
      <c r="J25" s="3">
        <v>97</v>
      </c>
      <c r="K25" s="3">
        <v>13</v>
      </c>
      <c r="L25" s="3">
        <v>21</v>
      </c>
      <c r="M25" s="3">
        <f t="shared" si="0"/>
        <v>131</v>
      </c>
      <c r="N25" s="4">
        <f t="shared" si="1"/>
        <v>1.9939117199391173E-2</v>
      </c>
      <c r="O25" s="4">
        <f t="shared" si="2"/>
        <v>0.21003164860458426</v>
      </c>
    </row>
    <row r="26" spans="1:15" x14ac:dyDescent="0.3">
      <c r="A26" s="2" t="s">
        <v>75</v>
      </c>
      <c r="B26" s="2" t="s">
        <v>71</v>
      </c>
      <c r="C26" s="2" t="s">
        <v>73</v>
      </c>
      <c r="D26" s="2" t="s">
        <v>50</v>
      </c>
      <c r="E26" s="2" t="s">
        <v>29</v>
      </c>
      <c r="F26" s="2" t="s">
        <v>20</v>
      </c>
      <c r="G26" s="3">
        <v>10077</v>
      </c>
      <c r="H26" s="3">
        <v>3250</v>
      </c>
      <c r="I26" s="3">
        <v>5575</v>
      </c>
      <c r="J26" s="3">
        <v>82</v>
      </c>
      <c r="K26" s="3">
        <v>16</v>
      </c>
      <c r="L26" s="3">
        <v>25</v>
      </c>
      <c r="M26" s="3">
        <f t="shared" si="0"/>
        <v>123</v>
      </c>
      <c r="N26" s="4">
        <f t="shared" si="1"/>
        <v>3.7846153846153849E-2</v>
      </c>
      <c r="O26" s="4">
        <f t="shared" si="2"/>
        <v>0.32251662201051901</v>
      </c>
    </row>
    <row r="27" spans="1:15" x14ac:dyDescent="0.3">
      <c r="A27" s="2" t="s">
        <v>76</v>
      </c>
      <c r="B27" s="2" t="s">
        <v>71</v>
      </c>
      <c r="C27" s="2" t="s">
        <v>49</v>
      </c>
      <c r="D27" s="2" t="s">
        <v>28</v>
      </c>
      <c r="E27" s="2" t="s">
        <v>46</v>
      </c>
      <c r="F27" s="2" t="s">
        <v>67</v>
      </c>
      <c r="G27" s="3">
        <v>42738</v>
      </c>
      <c r="H27" s="3">
        <v>26091</v>
      </c>
      <c r="I27" s="3">
        <v>45717</v>
      </c>
      <c r="J27" s="3">
        <v>239</v>
      </c>
      <c r="K27" s="3">
        <v>23</v>
      </c>
      <c r="L27" s="3">
        <v>45</v>
      </c>
      <c r="M27" s="3">
        <f t="shared" si="0"/>
        <v>307</v>
      </c>
      <c r="N27" s="4">
        <f t="shared" si="1"/>
        <v>1.1766509524357057E-2</v>
      </c>
      <c r="O27" s="4">
        <f t="shared" si="2"/>
        <v>0.6104871542889232</v>
      </c>
    </row>
    <row r="28" spans="1:15" x14ac:dyDescent="0.3">
      <c r="A28" s="2" t="s">
        <v>77</v>
      </c>
      <c r="B28" s="2" t="s">
        <v>78</v>
      </c>
      <c r="C28" s="2" t="s">
        <v>49</v>
      </c>
      <c r="D28" s="2" t="s">
        <v>18</v>
      </c>
      <c r="E28" s="2" t="s">
        <v>19</v>
      </c>
      <c r="F28" s="2" t="s">
        <v>79</v>
      </c>
      <c r="G28" s="3">
        <v>18210</v>
      </c>
      <c r="H28" s="3">
        <v>4130</v>
      </c>
      <c r="I28" s="3">
        <v>5306</v>
      </c>
      <c r="J28" s="3">
        <v>155</v>
      </c>
      <c r="K28" s="3">
        <v>26</v>
      </c>
      <c r="L28" s="3">
        <v>17</v>
      </c>
      <c r="M28" s="3">
        <f t="shared" si="0"/>
        <v>198</v>
      </c>
      <c r="N28" s="4">
        <f t="shared" si="1"/>
        <v>4.7941888619854718E-2</v>
      </c>
      <c r="O28" s="4">
        <f t="shared" si="2"/>
        <v>0.22679846238330587</v>
      </c>
    </row>
    <row r="29" spans="1:15" x14ac:dyDescent="0.3">
      <c r="A29" s="2" t="s">
        <v>80</v>
      </c>
      <c r="B29" s="2" t="s">
        <v>78</v>
      </c>
      <c r="C29" s="2" t="s">
        <v>73</v>
      </c>
      <c r="D29" s="2" t="s">
        <v>28</v>
      </c>
      <c r="E29" s="2" t="s">
        <v>19</v>
      </c>
      <c r="F29" s="2" t="s">
        <v>35</v>
      </c>
      <c r="G29" s="3">
        <v>41953</v>
      </c>
      <c r="H29" s="3">
        <v>22536</v>
      </c>
      <c r="I29" s="3">
        <v>35921</v>
      </c>
      <c r="J29" s="3">
        <v>785</v>
      </c>
      <c r="K29" s="3">
        <v>170</v>
      </c>
      <c r="L29" s="3">
        <v>223</v>
      </c>
      <c r="M29" s="3">
        <f t="shared" si="0"/>
        <v>1178</v>
      </c>
      <c r="N29" s="4">
        <f t="shared" si="1"/>
        <v>5.2271920482783105E-2</v>
      </c>
      <c r="O29" s="4">
        <f t="shared" si="2"/>
        <v>0.53717255023478649</v>
      </c>
    </row>
    <row r="30" spans="1:15" x14ac:dyDescent="0.3">
      <c r="A30" s="2" t="s">
        <v>81</v>
      </c>
      <c r="B30" s="2" t="s">
        <v>82</v>
      </c>
      <c r="C30" s="2" t="s">
        <v>83</v>
      </c>
      <c r="D30" s="2" t="s">
        <v>18</v>
      </c>
      <c r="E30" s="2" t="s">
        <v>24</v>
      </c>
      <c r="F30" s="2" t="s">
        <v>20</v>
      </c>
      <c r="G30" s="3">
        <v>18410</v>
      </c>
      <c r="H30" s="3">
        <v>1995</v>
      </c>
      <c r="I30" s="3">
        <v>2703</v>
      </c>
      <c r="J30" s="3">
        <v>62</v>
      </c>
      <c r="K30" s="3">
        <v>4</v>
      </c>
      <c r="L30" s="3">
        <v>13</v>
      </c>
      <c r="M30" s="3">
        <f t="shared" si="0"/>
        <v>79</v>
      </c>
      <c r="N30" s="4">
        <f t="shared" si="1"/>
        <v>3.9598997493734335E-2</v>
      </c>
      <c r="O30" s="4">
        <f t="shared" si="2"/>
        <v>0.10836501901140684</v>
      </c>
    </row>
    <row r="31" spans="1:15" x14ac:dyDescent="0.3">
      <c r="A31" s="2" t="s">
        <v>84</v>
      </c>
      <c r="B31" s="2" t="s">
        <v>82</v>
      </c>
      <c r="C31" s="2" t="s">
        <v>22</v>
      </c>
      <c r="D31" s="2" t="s">
        <v>23</v>
      </c>
      <c r="E31" s="2" t="s">
        <v>34</v>
      </c>
      <c r="F31" s="2" t="s">
        <v>79</v>
      </c>
      <c r="G31" s="3">
        <v>31798</v>
      </c>
      <c r="H31" s="3">
        <v>6479</v>
      </c>
      <c r="I31" s="3">
        <v>8969</v>
      </c>
      <c r="J31" s="3">
        <v>187</v>
      </c>
      <c r="K31" s="3">
        <v>39</v>
      </c>
      <c r="L31" s="3">
        <v>52</v>
      </c>
      <c r="M31" s="3">
        <f t="shared" si="0"/>
        <v>278</v>
      </c>
      <c r="N31" s="4">
        <f t="shared" si="1"/>
        <v>4.2907856150640529E-2</v>
      </c>
      <c r="O31" s="4">
        <f t="shared" si="2"/>
        <v>0.20375495314170702</v>
      </c>
    </row>
    <row r="32" spans="1:15" x14ac:dyDescent="0.3">
      <c r="A32" s="2" t="s">
        <v>85</v>
      </c>
      <c r="B32" s="2" t="s">
        <v>86</v>
      </c>
      <c r="C32" s="2" t="s">
        <v>39</v>
      </c>
      <c r="D32" s="2" t="s">
        <v>18</v>
      </c>
      <c r="E32" s="2" t="s">
        <v>29</v>
      </c>
      <c r="F32" s="2" t="s">
        <v>41</v>
      </c>
      <c r="G32" s="3">
        <v>18718</v>
      </c>
      <c r="H32" s="3">
        <v>5106</v>
      </c>
      <c r="I32" s="3">
        <v>8514</v>
      </c>
      <c r="J32" s="3">
        <v>126</v>
      </c>
      <c r="K32" s="3">
        <v>10</v>
      </c>
      <c r="L32" s="3">
        <v>29</v>
      </c>
      <c r="M32" s="3">
        <f t="shared" si="0"/>
        <v>165</v>
      </c>
      <c r="N32" s="4">
        <f t="shared" si="1"/>
        <v>3.2314923619271442E-2</v>
      </c>
      <c r="O32" s="4">
        <f t="shared" si="2"/>
        <v>0.2727855540121808</v>
      </c>
    </row>
    <row r="33" spans="1:15" x14ac:dyDescent="0.3">
      <c r="A33" s="2" t="s">
        <v>87</v>
      </c>
      <c r="B33" s="2" t="s">
        <v>86</v>
      </c>
      <c r="C33" s="2" t="s">
        <v>49</v>
      </c>
      <c r="D33" s="2" t="s">
        <v>50</v>
      </c>
      <c r="E33" s="2" t="s">
        <v>40</v>
      </c>
      <c r="F33" s="2" t="s">
        <v>79</v>
      </c>
      <c r="G33" s="3">
        <v>9881</v>
      </c>
      <c r="H33" s="3">
        <v>2993</v>
      </c>
      <c r="I33" s="3">
        <v>3769</v>
      </c>
      <c r="J33" s="3">
        <v>51</v>
      </c>
      <c r="K33" s="3">
        <v>6</v>
      </c>
      <c r="L33" s="3">
        <v>19</v>
      </c>
      <c r="M33" s="3">
        <f t="shared" si="0"/>
        <v>76</v>
      </c>
      <c r="N33" s="4">
        <f t="shared" si="1"/>
        <v>2.5392582692950218E-2</v>
      </c>
      <c r="O33" s="4">
        <f t="shared" si="2"/>
        <v>0.30290456431535268</v>
      </c>
    </row>
    <row r="34" spans="1:15" x14ac:dyDescent="0.3">
      <c r="A34" s="2" t="s">
        <v>88</v>
      </c>
      <c r="B34" s="2" t="s">
        <v>89</v>
      </c>
      <c r="C34" s="2" t="s">
        <v>43</v>
      </c>
      <c r="D34" s="2" t="s">
        <v>33</v>
      </c>
      <c r="E34" s="2" t="s">
        <v>40</v>
      </c>
      <c r="F34" s="2" t="s">
        <v>79</v>
      </c>
      <c r="G34" s="3">
        <v>25379</v>
      </c>
      <c r="H34" s="3">
        <v>5358</v>
      </c>
      <c r="I34" s="3">
        <v>9533</v>
      </c>
      <c r="J34" s="3">
        <v>169</v>
      </c>
      <c r="K34" s="3">
        <v>14</v>
      </c>
      <c r="L34" s="3">
        <v>62</v>
      </c>
      <c r="M34" s="3">
        <f t="shared" si="0"/>
        <v>245</v>
      </c>
      <c r="N34" s="4">
        <f t="shared" si="1"/>
        <v>4.5726017170586039E-2</v>
      </c>
      <c r="O34" s="4">
        <f t="shared" si="2"/>
        <v>0.2111194294495449</v>
      </c>
    </row>
    <row r="35" spans="1:15" x14ac:dyDescent="0.3">
      <c r="A35" s="2" t="s">
        <v>90</v>
      </c>
      <c r="B35" s="2" t="s">
        <v>89</v>
      </c>
      <c r="C35" s="2" t="s">
        <v>73</v>
      </c>
      <c r="D35" s="2" t="s">
        <v>18</v>
      </c>
      <c r="E35" s="2" t="s">
        <v>40</v>
      </c>
      <c r="F35" s="2" t="s">
        <v>30</v>
      </c>
      <c r="G35" s="3">
        <v>18442</v>
      </c>
      <c r="H35" s="3">
        <v>3970</v>
      </c>
      <c r="I35" s="3">
        <v>5074</v>
      </c>
      <c r="J35" s="3">
        <v>246</v>
      </c>
      <c r="K35" s="3">
        <v>32</v>
      </c>
      <c r="L35" s="3">
        <v>34</v>
      </c>
      <c r="M35" s="3">
        <f t="shared" si="0"/>
        <v>312</v>
      </c>
      <c r="N35" s="4">
        <f t="shared" si="1"/>
        <v>7.858942065491184E-2</v>
      </c>
      <c r="O35" s="4">
        <f t="shared" si="2"/>
        <v>0.2152694935473376</v>
      </c>
    </row>
    <row r="36" spans="1:15" x14ac:dyDescent="0.3">
      <c r="A36" s="2" t="s">
        <v>91</v>
      </c>
      <c r="B36" s="2" t="s">
        <v>89</v>
      </c>
      <c r="C36" s="2" t="s">
        <v>73</v>
      </c>
      <c r="D36" s="2" t="s">
        <v>28</v>
      </c>
      <c r="E36" s="2" t="s">
        <v>46</v>
      </c>
      <c r="F36" s="2" t="s">
        <v>79</v>
      </c>
      <c r="G36" s="3">
        <v>42966</v>
      </c>
      <c r="H36" s="3">
        <v>29268</v>
      </c>
      <c r="I36" s="3">
        <v>34748</v>
      </c>
      <c r="J36" s="3">
        <v>841</v>
      </c>
      <c r="K36" s="3">
        <v>92</v>
      </c>
      <c r="L36" s="3">
        <v>189</v>
      </c>
      <c r="M36" s="3">
        <f t="shared" si="0"/>
        <v>1122</v>
      </c>
      <c r="N36" s="4">
        <f t="shared" si="1"/>
        <v>3.833538335383354E-2</v>
      </c>
      <c r="O36" s="4">
        <f t="shared" si="2"/>
        <v>0.68118977796397151</v>
      </c>
    </row>
    <row r="37" spans="1:15" x14ac:dyDescent="0.3">
      <c r="A37" s="2" t="s">
        <v>92</v>
      </c>
      <c r="B37" s="2" t="s">
        <v>93</v>
      </c>
      <c r="C37" s="2" t="s">
        <v>43</v>
      </c>
      <c r="D37" s="2" t="s">
        <v>33</v>
      </c>
      <c r="E37" s="2" t="s">
        <v>40</v>
      </c>
      <c r="F37" s="2" t="s">
        <v>41</v>
      </c>
      <c r="G37" s="3">
        <v>25162</v>
      </c>
      <c r="H37" s="3">
        <v>10662</v>
      </c>
      <c r="I37" s="3">
        <v>16322</v>
      </c>
      <c r="J37" s="3">
        <v>366</v>
      </c>
      <c r="K37" s="3">
        <v>44</v>
      </c>
      <c r="L37" s="3">
        <v>154</v>
      </c>
      <c r="M37" s="3">
        <f t="shared" si="0"/>
        <v>564</v>
      </c>
      <c r="N37" s="4">
        <f t="shared" si="1"/>
        <v>5.289814293753517E-2</v>
      </c>
      <c r="O37" s="4">
        <f t="shared" si="2"/>
        <v>0.42373420236865111</v>
      </c>
    </row>
    <row r="38" spans="1:15" x14ac:dyDescent="0.3">
      <c r="A38" s="2" t="s">
        <v>94</v>
      </c>
      <c r="B38" s="2" t="s">
        <v>93</v>
      </c>
      <c r="C38" s="2" t="s">
        <v>49</v>
      </c>
      <c r="D38" s="2" t="s">
        <v>33</v>
      </c>
      <c r="E38" s="2" t="s">
        <v>24</v>
      </c>
      <c r="F38" s="2" t="s">
        <v>79</v>
      </c>
      <c r="G38" s="3">
        <v>24950</v>
      </c>
      <c r="H38" s="3">
        <v>7469</v>
      </c>
      <c r="I38" s="3">
        <v>9333</v>
      </c>
      <c r="J38" s="3">
        <v>179</v>
      </c>
      <c r="K38" s="3">
        <v>15</v>
      </c>
      <c r="L38" s="3">
        <v>39</v>
      </c>
      <c r="M38" s="3">
        <f t="shared" si="0"/>
        <v>233</v>
      </c>
      <c r="N38" s="4">
        <f t="shared" si="1"/>
        <v>3.1195608515196142E-2</v>
      </c>
      <c r="O38" s="4">
        <f t="shared" si="2"/>
        <v>0.29935871743486975</v>
      </c>
    </row>
    <row r="39" spans="1:15" x14ac:dyDescent="0.3">
      <c r="A39" s="2" t="s">
        <v>95</v>
      </c>
      <c r="B39" s="2" t="s">
        <v>93</v>
      </c>
      <c r="C39" s="2" t="s">
        <v>64</v>
      </c>
      <c r="D39" s="2" t="s">
        <v>18</v>
      </c>
      <c r="E39" s="2" t="s">
        <v>24</v>
      </c>
      <c r="F39" s="2" t="s">
        <v>79</v>
      </c>
      <c r="G39" s="3">
        <v>18258</v>
      </c>
      <c r="H39" s="3">
        <v>5302</v>
      </c>
      <c r="I39" s="3">
        <v>6703</v>
      </c>
      <c r="J39" s="3">
        <v>87</v>
      </c>
      <c r="K39" s="3">
        <v>7</v>
      </c>
      <c r="L39" s="3">
        <v>36</v>
      </c>
      <c r="M39" s="3">
        <f t="shared" si="0"/>
        <v>130</v>
      </c>
      <c r="N39" s="4">
        <f t="shared" si="1"/>
        <v>2.4519049415314974E-2</v>
      </c>
      <c r="O39" s="4">
        <f t="shared" si="2"/>
        <v>0.29039325227297624</v>
      </c>
    </row>
    <row r="40" spans="1:15" x14ac:dyDescent="0.3">
      <c r="A40" s="2" t="s">
        <v>96</v>
      </c>
      <c r="B40" s="2" t="s">
        <v>93</v>
      </c>
      <c r="C40" s="2" t="s">
        <v>49</v>
      </c>
      <c r="D40" s="2" t="s">
        <v>28</v>
      </c>
      <c r="E40" s="2" t="s">
        <v>24</v>
      </c>
      <c r="F40" s="2" t="s">
        <v>25</v>
      </c>
      <c r="G40" s="3">
        <v>43205</v>
      </c>
      <c r="H40" s="3">
        <v>21584</v>
      </c>
      <c r="I40" s="3">
        <v>29780</v>
      </c>
      <c r="J40" s="3">
        <v>304</v>
      </c>
      <c r="K40" s="3">
        <v>52</v>
      </c>
      <c r="L40" s="3">
        <v>32</v>
      </c>
      <c r="M40" s="3">
        <f t="shared" si="0"/>
        <v>388</v>
      </c>
      <c r="N40" s="4">
        <f t="shared" si="1"/>
        <v>1.7976278724981469E-2</v>
      </c>
      <c r="O40" s="4">
        <f t="shared" si="2"/>
        <v>0.49957180881842378</v>
      </c>
    </row>
    <row r="41" spans="1:15" x14ac:dyDescent="0.3">
      <c r="A41" s="2" t="s">
        <v>97</v>
      </c>
      <c r="B41" s="2" t="s">
        <v>98</v>
      </c>
      <c r="C41" s="2" t="s">
        <v>27</v>
      </c>
      <c r="D41" s="2" t="s">
        <v>18</v>
      </c>
      <c r="E41" s="2" t="s">
        <v>46</v>
      </c>
      <c r="F41" s="2" t="s">
        <v>47</v>
      </c>
      <c r="G41" s="3">
        <v>18258</v>
      </c>
      <c r="H41" s="3">
        <v>2735</v>
      </c>
      <c r="I41" s="3">
        <v>4632</v>
      </c>
      <c r="J41" s="3">
        <v>44</v>
      </c>
      <c r="K41" s="3">
        <v>6</v>
      </c>
      <c r="L41" s="3">
        <v>8</v>
      </c>
      <c r="M41" s="3">
        <f t="shared" si="0"/>
        <v>58</v>
      </c>
      <c r="N41" s="4">
        <f t="shared" si="1"/>
        <v>2.1206581352833639E-2</v>
      </c>
      <c r="O41" s="4">
        <f t="shared" si="2"/>
        <v>0.14979734910724066</v>
      </c>
    </row>
    <row r="42" spans="1:15" x14ac:dyDescent="0.3">
      <c r="A42" s="2" t="s">
        <v>99</v>
      </c>
      <c r="B42" s="2" t="s">
        <v>100</v>
      </c>
      <c r="C42" s="2" t="s">
        <v>27</v>
      </c>
      <c r="D42" s="2" t="s">
        <v>23</v>
      </c>
      <c r="E42" s="2" t="s">
        <v>24</v>
      </c>
      <c r="F42" s="2" t="s">
        <v>47</v>
      </c>
      <c r="G42" s="3">
        <v>32229</v>
      </c>
      <c r="H42" s="3">
        <v>5933</v>
      </c>
      <c r="I42" s="3">
        <v>8497</v>
      </c>
      <c r="J42" s="3">
        <v>75</v>
      </c>
      <c r="K42" s="3">
        <v>12</v>
      </c>
      <c r="L42" s="3">
        <v>23</v>
      </c>
      <c r="M42" s="3">
        <f t="shared" si="0"/>
        <v>110</v>
      </c>
      <c r="N42" s="4">
        <f t="shared" si="1"/>
        <v>1.8540367436372829E-2</v>
      </c>
      <c r="O42" s="4">
        <f t="shared" si="2"/>
        <v>0.18408886406652394</v>
      </c>
    </row>
    <row r="43" spans="1:15" x14ac:dyDescent="0.3">
      <c r="A43" s="2" t="s">
        <v>101</v>
      </c>
      <c r="B43" s="2" t="s">
        <v>100</v>
      </c>
      <c r="C43" s="2" t="s">
        <v>43</v>
      </c>
      <c r="D43" s="2" t="s">
        <v>50</v>
      </c>
      <c r="E43" s="2" t="s">
        <v>40</v>
      </c>
      <c r="F43" s="2" t="s">
        <v>30</v>
      </c>
      <c r="G43" s="3">
        <v>10114</v>
      </c>
      <c r="H43" s="3">
        <v>1759</v>
      </c>
      <c r="I43" s="3">
        <v>2348</v>
      </c>
      <c r="J43" s="3">
        <v>102</v>
      </c>
      <c r="K43" s="3">
        <v>10</v>
      </c>
      <c r="L43" s="3">
        <v>43</v>
      </c>
      <c r="M43" s="3">
        <f t="shared" si="0"/>
        <v>155</v>
      </c>
      <c r="N43" s="4">
        <f t="shared" si="1"/>
        <v>8.8118249005116542E-2</v>
      </c>
      <c r="O43" s="4">
        <f t="shared" si="2"/>
        <v>0.17391734229780503</v>
      </c>
    </row>
    <row r="44" spans="1:15" x14ac:dyDescent="0.3">
      <c r="A44" s="2" t="s">
        <v>102</v>
      </c>
      <c r="B44" s="2" t="s">
        <v>103</v>
      </c>
      <c r="C44" s="2" t="s">
        <v>45</v>
      </c>
      <c r="D44" s="2" t="s">
        <v>18</v>
      </c>
      <c r="E44" s="2" t="s">
        <v>24</v>
      </c>
      <c r="F44" s="2" t="s">
        <v>47</v>
      </c>
      <c r="G44" s="3">
        <v>18595</v>
      </c>
      <c r="H44" s="3">
        <v>2628</v>
      </c>
      <c r="I44" s="3">
        <v>3663</v>
      </c>
      <c r="J44" s="3">
        <v>75</v>
      </c>
      <c r="K44" s="3">
        <v>12</v>
      </c>
      <c r="L44" s="3">
        <v>15</v>
      </c>
      <c r="M44" s="3">
        <f t="shared" si="0"/>
        <v>102</v>
      </c>
      <c r="N44" s="4">
        <f t="shared" si="1"/>
        <v>3.8812785388127852E-2</v>
      </c>
      <c r="O44" s="4">
        <f t="shared" si="2"/>
        <v>0.14132831406292015</v>
      </c>
    </row>
    <row r="45" spans="1:15" x14ac:dyDescent="0.3">
      <c r="A45" s="2" t="s">
        <v>104</v>
      </c>
      <c r="B45" s="2" t="s">
        <v>103</v>
      </c>
      <c r="C45" s="2" t="s">
        <v>45</v>
      </c>
      <c r="D45" s="2" t="s">
        <v>23</v>
      </c>
      <c r="E45" s="2" t="s">
        <v>29</v>
      </c>
      <c r="F45" s="2" t="s">
        <v>35</v>
      </c>
      <c r="G45" s="3">
        <v>32103</v>
      </c>
      <c r="H45" s="3">
        <v>6403</v>
      </c>
      <c r="I45" s="3">
        <v>11316</v>
      </c>
      <c r="J45" s="3">
        <v>198</v>
      </c>
      <c r="K45" s="3">
        <v>27</v>
      </c>
      <c r="L45" s="3">
        <v>35</v>
      </c>
      <c r="M45" s="3">
        <f t="shared" si="0"/>
        <v>260</v>
      </c>
      <c r="N45" s="4">
        <f t="shared" si="1"/>
        <v>4.0605965953459319E-2</v>
      </c>
      <c r="O45" s="4">
        <f t="shared" si="2"/>
        <v>0.19945176463258885</v>
      </c>
    </row>
    <row r="46" spans="1:15" x14ac:dyDescent="0.3">
      <c r="A46" s="2" t="s">
        <v>105</v>
      </c>
      <c r="B46" s="2" t="s">
        <v>103</v>
      </c>
      <c r="C46" s="2" t="s">
        <v>22</v>
      </c>
      <c r="D46" s="2" t="s">
        <v>23</v>
      </c>
      <c r="E46" s="2" t="s">
        <v>19</v>
      </c>
      <c r="F46" s="2" t="s">
        <v>47</v>
      </c>
      <c r="G46" s="3">
        <v>31424</v>
      </c>
      <c r="H46" s="3">
        <v>4431</v>
      </c>
      <c r="I46" s="3">
        <v>4964</v>
      </c>
      <c r="J46" s="3">
        <v>130</v>
      </c>
      <c r="K46" s="3">
        <v>15</v>
      </c>
      <c r="L46" s="3">
        <v>28</v>
      </c>
      <c r="M46" s="3">
        <f t="shared" si="0"/>
        <v>173</v>
      </c>
      <c r="N46" s="4">
        <f t="shared" si="1"/>
        <v>3.9043105393816294E-2</v>
      </c>
      <c r="O46" s="4">
        <f t="shared" si="2"/>
        <v>0.14100687372708759</v>
      </c>
    </row>
    <row r="47" spans="1:15" x14ac:dyDescent="0.3">
      <c r="A47" s="2" t="s">
        <v>106</v>
      </c>
      <c r="B47" s="2" t="s">
        <v>107</v>
      </c>
      <c r="C47" s="2" t="s">
        <v>64</v>
      </c>
      <c r="D47" s="2" t="s">
        <v>18</v>
      </c>
      <c r="E47" s="2" t="s">
        <v>24</v>
      </c>
      <c r="F47" s="2" t="s">
        <v>67</v>
      </c>
      <c r="G47" s="3">
        <v>18380</v>
      </c>
      <c r="H47" s="3">
        <v>3413</v>
      </c>
      <c r="I47" s="3">
        <v>5825</v>
      </c>
      <c r="J47" s="3">
        <v>37</v>
      </c>
      <c r="K47" s="3">
        <v>4</v>
      </c>
      <c r="L47" s="3">
        <v>14</v>
      </c>
      <c r="M47" s="3">
        <f t="shared" si="0"/>
        <v>55</v>
      </c>
      <c r="N47" s="4">
        <f t="shared" si="1"/>
        <v>1.6114854966305305E-2</v>
      </c>
      <c r="O47" s="4">
        <f t="shared" si="2"/>
        <v>0.18569096844396082</v>
      </c>
    </row>
    <row r="48" spans="1:15" x14ac:dyDescent="0.3">
      <c r="A48" s="2" t="s">
        <v>108</v>
      </c>
      <c r="B48" s="2" t="s">
        <v>107</v>
      </c>
      <c r="C48" s="2" t="s">
        <v>83</v>
      </c>
      <c r="D48" s="2" t="s">
        <v>23</v>
      </c>
      <c r="E48" s="2" t="s">
        <v>40</v>
      </c>
      <c r="F48" s="2" t="s">
        <v>35</v>
      </c>
      <c r="G48" s="3">
        <v>32157</v>
      </c>
      <c r="H48" s="3">
        <v>6317</v>
      </c>
      <c r="I48" s="3">
        <v>8064</v>
      </c>
      <c r="J48" s="3">
        <v>122</v>
      </c>
      <c r="K48" s="3">
        <v>19</v>
      </c>
      <c r="L48" s="3">
        <v>47</v>
      </c>
      <c r="M48" s="3">
        <f t="shared" si="0"/>
        <v>188</v>
      </c>
      <c r="N48" s="4">
        <f t="shared" si="1"/>
        <v>2.9760962482190914E-2</v>
      </c>
      <c r="O48" s="4">
        <f t="shared" si="2"/>
        <v>0.19644245420903692</v>
      </c>
    </row>
    <row r="49" spans="1:15" x14ac:dyDescent="0.3">
      <c r="A49" s="2" t="s">
        <v>109</v>
      </c>
      <c r="B49" s="2" t="s">
        <v>107</v>
      </c>
      <c r="C49" s="2" t="s">
        <v>55</v>
      </c>
      <c r="D49" s="2" t="s">
        <v>50</v>
      </c>
      <c r="E49" s="2" t="s">
        <v>46</v>
      </c>
      <c r="F49" s="2" t="s">
        <v>67</v>
      </c>
      <c r="G49" s="3">
        <v>10166</v>
      </c>
      <c r="H49" s="3">
        <v>3440</v>
      </c>
      <c r="I49" s="3">
        <v>4264</v>
      </c>
      <c r="J49" s="3">
        <v>21</v>
      </c>
      <c r="K49" s="3">
        <v>2</v>
      </c>
      <c r="L49" s="3">
        <v>9</v>
      </c>
      <c r="M49" s="3">
        <f t="shared" si="0"/>
        <v>32</v>
      </c>
      <c r="N49" s="4">
        <f t="shared" si="1"/>
        <v>9.3023255813953487E-3</v>
      </c>
      <c r="O49" s="4">
        <f t="shared" si="2"/>
        <v>0.33838284477670666</v>
      </c>
    </row>
    <row r="50" spans="1:15" x14ac:dyDescent="0.3">
      <c r="A50" s="2" t="s">
        <v>110</v>
      </c>
      <c r="B50" s="2" t="s">
        <v>107</v>
      </c>
      <c r="C50" s="2" t="s">
        <v>22</v>
      </c>
      <c r="D50" s="2" t="s">
        <v>50</v>
      </c>
      <c r="E50" s="2" t="s">
        <v>34</v>
      </c>
      <c r="F50" s="2" t="s">
        <v>25</v>
      </c>
      <c r="G50" s="3">
        <v>10050</v>
      </c>
      <c r="H50" s="3">
        <v>1798</v>
      </c>
      <c r="I50" s="3">
        <v>2442</v>
      </c>
      <c r="J50" s="3">
        <v>59</v>
      </c>
      <c r="K50" s="3">
        <v>9</v>
      </c>
      <c r="L50" s="3">
        <v>7</v>
      </c>
      <c r="M50" s="3">
        <f t="shared" si="0"/>
        <v>75</v>
      </c>
      <c r="N50" s="4">
        <f t="shared" si="1"/>
        <v>4.1713014460511677E-2</v>
      </c>
      <c r="O50" s="4">
        <f t="shared" si="2"/>
        <v>0.17890547263681592</v>
      </c>
    </row>
    <row r="51" spans="1:15" x14ac:dyDescent="0.3">
      <c r="A51" s="2" t="s">
        <v>111</v>
      </c>
      <c r="B51" s="2" t="s">
        <v>112</v>
      </c>
      <c r="C51" s="2" t="s">
        <v>52</v>
      </c>
      <c r="D51" s="2" t="s">
        <v>33</v>
      </c>
      <c r="E51" s="2" t="s">
        <v>29</v>
      </c>
      <c r="F51" s="2" t="s">
        <v>41</v>
      </c>
      <c r="G51" s="3">
        <v>25101</v>
      </c>
      <c r="H51" s="3">
        <v>9364</v>
      </c>
      <c r="I51" s="3">
        <v>10798</v>
      </c>
      <c r="J51" s="3">
        <v>384</v>
      </c>
      <c r="K51" s="3">
        <v>31</v>
      </c>
      <c r="L51" s="3">
        <v>102</v>
      </c>
      <c r="M51" s="3">
        <f t="shared" si="0"/>
        <v>517</v>
      </c>
      <c r="N51" s="4">
        <f t="shared" si="1"/>
        <v>5.5211448099102944E-2</v>
      </c>
      <c r="O51" s="4">
        <f t="shared" si="2"/>
        <v>0.37305286641966456</v>
      </c>
    </row>
    <row r="52" spans="1:15" x14ac:dyDescent="0.3">
      <c r="A52" s="2" t="s">
        <v>113</v>
      </c>
      <c r="B52" s="2" t="s">
        <v>112</v>
      </c>
      <c r="C52" s="2" t="s">
        <v>55</v>
      </c>
      <c r="D52" s="2" t="s">
        <v>33</v>
      </c>
      <c r="E52" s="2" t="s">
        <v>46</v>
      </c>
      <c r="F52" s="2" t="s">
        <v>30</v>
      </c>
      <c r="G52" s="3">
        <v>25504</v>
      </c>
      <c r="H52" s="3">
        <v>8487</v>
      </c>
      <c r="I52" s="3">
        <v>9579</v>
      </c>
      <c r="J52" s="3">
        <v>148</v>
      </c>
      <c r="K52" s="3">
        <v>11</v>
      </c>
      <c r="L52" s="3">
        <v>39</v>
      </c>
      <c r="M52" s="3">
        <f t="shared" si="0"/>
        <v>198</v>
      </c>
      <c r="N52" s="4">
        <f t="shared" si="1"/>
        <v>2.3329798515376459E-2</v>
      </c>
      <c r="O52" s="4">
        <f t="shared" si="2"/>
        <v>0.33277132998745296</v>
      </c>
    </row>
    <row r="53" spans="1:15" x14ac:dyDescent="0.3">
      <c r="A53" s="2" t="s">
        <v>114</v>
      </c>
      <c r="B53" s="2" t="s">
        <v>112</v>
      </c>
      <c r="C53" s="2" t="s">
        <v>27</v>
      </c>
      <c r="D53" s="2" t="s">
        <v>18</v>
      </c>
      <c r="E53" s="2" t="s">
        <v>40</v>
      </c>
      <c r="F53" s="2" t="s">
        <v>30</v>
      </c>
      <c r="G53" s="3">
        <v>18674</v>
      </c>
      <c r="H53" s="3">
        <v>3220</v>
      </c>
      <c r="I53" s="3">
        <v>5551</v>
      </c>
      <c r="J53" s="3">
        <v>123</v>
      </c>
      <c r="K53" s="3">
        <v>12</v>
      </c>
      <c r="L53" s="3">
        <v>48</v>
      </c>
      <c r="M53" s="3">
        <f t="shared" si="0"/>
        <v>183</v>
      </c>
      <c r="N53" s="4">
        <f t="shared" si="1"/>
        <v>5.6832298136645962E-2</v>
      </c>
      <c r="O53" s="4">
        <f t="shared" si="2"/>
        <v>0.17243225875548893</v>
      </c>
    </row>
    <row r="54" spans="1:15" x14ac:dyDescent="0.3">
      <c r="A54" s="2" t="s">
        <v>115</v>
      </c>
      <c r="B54" s="2" t="s">
        <v>112</v>
      </c>
      <c r="C54" s="2" t="s">
        <v>52</v>
      </c>
      <c r="D54" s="2" t="s">
        <v>50</v>
      </c>
      <c r="E54" s="2" t="s">
        <v>24</v>
      </c>
      <c r="F54" s="2" t="s">
        <v>47</v>
      </c>
      <c r="G54" s="3">
        <v>10068</v>
      </c>
      <c r="H54" s="3">
        <v>3120</v>
      </c>
      <c r="I54" s="3">
        <v>4725</v>
      </c>
      <c r="J54" s="3">
        <v>43</v>
      </c>
      <c r="K54" s="3">
        <v>9</v>
      </c>
      <c r="L54" s="3">
        <v>12</v>
      </c>
      <c r="M54" s="3">
        <f t="shared" si="0"/>
        <v>64</v>
      </c>
      <c r="N54" s="4">
        <f t="shared" si="1"/>
        <v>2.0512820512820513E-2</v>
      </c>
      <c r="O54" s="4">
        <f t="shared" si="2"/>
        <v>0.30989272943980928</v>
      </c>
    </row>
    <row r="55" spans="1:15" x14ac:dyDescent="0.3">
      <c r="A55" s="2" t="s">
        <v>116</v>
      </c>
      <c r="B55" s="2" t="s">
        <v>117</v>
      </c>
      <c r="C55" s="2" t="s">
        <v>45</v>
      </c>
      <c r="D55" s="2" t="s">
        <v>33</v>
      </c>
      <c r="E55" s="2" t="s">
        <v>24</v>
      </c>
      <c r="F55" s="2" t="s">
        <v>41</v>
      </c>
      <c r="G55" s="3">
        <v>25084</v>
      </c>
      <c r="H55" s="3">
        <v>7862</v>
      </c>
      <c r="I55" s="3">
        <v>10436</v>
      </c>
      <c r="J55" s="3">
        <v>156</v>
      </c>
      <c r="K55" s="3">
        <v>17</v>
      </c>
      <c r="L55" s="3">
        <v>54</v>
      </c>
      <c r="M55" s="3">
        <f t="shared" si="0"/>
        <v>227</v>
      </c>
      <c r="N55" s="4">
        <f t="shared" si="1"/>
        <v>2.8873060290002545E-2</v>
      </c>
      <c r="O55" s="4">
        <f t="shared" si="2"/>
        <v>0.31342688566416838</v>
      </c>
    </row>
    <row r="56" spans="1:15" x14ac:dyDescent="0.3">
      <c r="A56" s="2" t="s">
        <v>118</v>
      </c>
      <c r="B56" s="2" t="s">
        <v>117</v>
      </c>
      <c r="C56" s="2" t="s">
        <v>39</v>
      </c>
      <c r="D56" s="2" t="s">
        <v>23</v>
      </c>
      <c r="E56" s="2" t="s">
        <v>19</v>
      </c>
      <c r="F56" s="2" t="s">
        <v>30</v>
      </c>
      <c r="G56" s="3">
        <v>31618</v>
      </c>
      <c r="H56" s="3">
        <v>4328</v>
      </c>
      <c r="I56" s="3">
        <v>6442</v>
      </c>
      <c r="J56" s="3">
        <v>125</v>
      </c>
      <c r="K56" s="3">
        <v>15</v>
      </c>
      <c r="L56" s="3">
        <v>26</v>
      </c>
      <c r="M56" s="3">
        <f t="shared" si="0"/>
        <v>166</v>
      </c>
      <c r="N56" s="4">
        <f t="shared" si="1"/>
        <v>3.8354898336414048E-2</v>
      </c>
      <c r="O56" s="4">
        <f t="shared" si="2"/>
        <v>0.13688405338731102</v>
      </c>
    </row>
    <row r="57" spans="1:15" x14ac:dyDescent="0.3">
      <c r="A57" s="2" t="s">
        <v>119</v>
      </c>
      <c r="B57" s="2" t="s">
        <v>117</v>
      </c>
      <c r="C57" s="2" t="s">
        <v>73</v>
      </c>
      <c r="D57" s="2" t="s">
        <v>23</v>
      </c>
      <c r="E57" s="2" t="s">
        <v>34</v>
      </c>
      <c r="F57" s="2" t="s">
        <v>35</v>
      </c>
      <c r="G57" s="3">
        <v>31592</v>
      </c>
      <c r="H57" s="3">
        <v>5587</v>
      </c>
      <c r="I57" s="3">
        <v>7343</v>
      </c>
      <c r="J57" s="3">
        <v>191</v>
      </c>
      <c r="K57" s="3">
        <v>24</v>
      </c>
      <c r="L57" s="3">
        <v>48</v>
      </c>
      <c r="M57" s="3">
        <f t="shared" si="0"/>
        <v>263</v>
      </c>
      <c r="N57" s="4">
        <f t="shared" si="1"/>
        <v>4.7073563629855021E-2</v>
      </c>
      <c r="O57" s="4">
        <f t="shared" si="2"/>
        <v>0.17684856925804002</v>
      </c>
    </row>
    <row r="58" spans="1:15" x14ac:dyDescent="0.3">
      <c r="A58" s="2" t="s">
        <v>120</v>
      </c>
      <c r="B58" s="2" t="s">
        <v>117</v>
      </c>
      <c r="C58" s="2" t="s">
        <v>73</v>
      </c>
      <c r="D58" s="2" t="s">
        <v>28</v>
      </c>
      <c r="E58" s="2" t="s">
        <v>29</v>
      </c>
      <c r="F58" s="2" t="s">
        <v>35</v>
      </c>
      <c r="G58" s="3">
        <v>42818</v>
      </c>
      <c r="H58" s="3">
        <v>30779</v>
      </c>
      <c r="I58" s="3">
        <v>40655</v>
      </c>
      <c r="J58" s="3">
        <v>1671</v>
      </c>
      <c r="K58" s="3">
        <v>153</v>
      </c>
      <c r="L58" s="3">
        <v>394</v>
      </c>
      <c r="M58" s="3">
        <f t="shared" si="0"/>
        <v>2218</v>
      </c>
      <c r="N58" s="4">
        <f t="shared" si="1"/>
        <v>7.2062120276812108E-2</v>
      </c>
      <c r="O58" s="4">
        <f t="shared" si="2"/>
        <v>0.71883320099023773</v>
      </c>
    </row>
    <row r="59" spans="1:15" x14ac:dyDescent="0.3">
      <c r="A59" s="2" t="s">
        <v>121</v>
      </c>
      <c r="B59" s="2" t="s">
        <v>122</v>
      </c>
      <c r="C59" s="2" t="s">
        <v>39</v>
      </c>
      <c r="D59" s="2" t="s">
        <v>33</v>
      </c>
      <c r="E59" s="2" t="s">
        <v>24</v>
      </c>
      <c r="F59" s="2" t="s">
        <v>35</v>
      </c>
      <c r="G59" s="3">
        <v>25779</v>
      </c>
      <c r="H59" s="3">
        <v>10435</v>
      </c>
      <c r="I59" s="3">
        <v>13642</v>
      </c>
      <c r="J59" s="3">
        <v>191</v>
      </c>
      <c r="K59" s="3">
        <v>15</v>
      </c>
      <c r="L59" s="3">
        <v>47</v>
      </c>
      <c r="M59" s="3">
        <f t="shared" si="0"/>
        <v>253</v>
      </c>
      <c r="N59" s="4">
        <f t="shared" si="1"/>
        <v>2.4245328222328701E-2</v>
      </c>
      <c r="O59" s="4">
        <f t="shared" si="2"/>
        <v>0.40478684200318088</v>
      </c>
    </row>
    <row r="60" spans="1:15" x14ac:dyDescent="0.3">
      <c r="A60" s="2" t="s">
        <v>123</v>
      </c>
      <c r="B60" s="2" t="s">
        <v>122</v>
      </c>
      <c r="C60" s="2" t="s">
        <v>64</v>
      </c>
      <c r="D60" s="2" t="s">
        <v>28</v>
      </c>
      <c r="E60" s="2" t="s">
        <v>40</v>
      </c>
      <c r="F60" s="2" t="s">
        <v>30</v>
      </c>
      <c r="G60" s="3">
        <v>44007</v>
      </c>
      <c r="H60" s="3">
        <v>27422</v>
      </c>
      <c r="I60" s="3">
        <v>39174</v>
      </c>
      <c r="J60" s="3">
        <v>1091</v>
      </c>
      <c r="K60" s="3">
        <v>239</v>
      </c>
      <c r="L60" s="3">
        <v>330</v>
      </c>
      <c r="M60" s="3">
        <f t="shared" si="0"/>
        <v>1660</v>
      </c>
      <c r="N60" s="4">
        <f t="shared" si="1"/>
        <v>6.0535336591058274E-2</v>
      </c>
      <c r="O60" s="4">
        <f t="shared" si="2"/>
        <v>0.623128138705206</v>
      </c>
    </row>
    <row r="61" spans="1:15" x14ac:dyDescent="0.3">
      <c r="A61" s="2" t="s">
        <v>124</v>
      </c>
      <c r="B61" s="2" t="s">
        <v>125</v>
      </c>
      <c r="C61" s="2" t="s">
        <v>17</v>
      </c>
      <c r="D61" s="2" t="s">
        <v>33</v>
      </c>
      <c r="E61" s="2" t="s">
        <v>40</v>
      </c>
      <c r="F61" s="2" t="s">
        <v>30</v>
      </c>
      <c r="G61" s="3">
        <v>25415</v>
      </c>
      <c r="H61" s="3">
        <v>9285</v>
      </c>
      <c r="I61" s="3">
        <v>11199</v>
      </c>
      <c r="J61" s="3">
        <v>606</v>
      </c>
      <c r="K61" s="3">
        <v>44</v>
      </c>
      <c r="L61" s="3">
        <v>115</v>
      </c>
      <c r="M61" s="3">
        <f t="shared" si="0"/>
        <v>765</v>
      </c>
      <c r="N61" s="4">
        <f t="shared" si="1"/>
        <v>8.2390953150242321E-2</v>
      </c>
      <c r="O61" s="4">
        <f t="shared" si="2"/>
        <v>0.3653354318315955</v>
      </c>
    </row>
    <row r="62" spans="1:15" x14ac:dyDescent="0.3">
      <c r="A62" s="2" t="s">
        <v>126</v>
      </c>
      <c r="B62" s="2" t="s">
        <v>125</v>
      </c>
      <c r="C62" s="2" t="s">
        <v>45</v>
      </c>
      <c r="D62" s="2" t="s">
        <v>33</v>
      </c>
      <c r="E62" s="2" t="s">
        <v>34</v>
      </c>
      <c r="F62" s="2" t="s">
        <v>41</v>
      </c>
      <c r="G62" s="3">
        <v>25445</v>
      </c>
      <c r="H62" s="3">
        <v>10012</v>
      </c>
      <c r="I62" s="3">
        <v>12594</v>
      </c>
      <c r="J62" s="3">
        <v>276</v>
      </c>
      <c r="K62" s="3">
        <v>36</v>
      </c>
      <c r="L62" s="3">
        <v>73</v>
      </c>
      <c r="M62" s="3">
        <f t="shared" si="0"/>
        <v>385</v>
      </c>
      <c r="N62" s="4">
        <f t="shared" si="1"/>
        <v>3.845385537355174E-2</v>
      </c>
      <c r="O62" s="4">
        <f t="shared" si="2"/>
        <v>0.39347612497543721</v>
      </c>
    </row>
    <row r="63" spans="1:15" x14ac:dyDescent="0.3">
      <c r="A63" s="2" t="s">
        <v>127</v>
      </c>
      <c r="B63" s="2" t="s">
        <v>125</v>
      </c>
      <c r="C63" s="2" t="s">
        <v>49</v>
      </c>
      <c r="D63" s="2" t="s">
        <v>23</v>
      </c>
      <c r="E63" s="2" t="s">
        <v>24</v>
      </c>
      <c r="F63" s="2" t="s">
        <v>30</v>
      </c>
      <c r="G63" s="3">
        <v>32634</v>
      </c>
      <c r="H63" s="3">
        <v>3560</v>
      </c>
      <c r="I63" s="3">
        <v>4441</v>
      </c>
      <c r="J63" s="3">
        <v>74</v>
      </c>
      <c r="K63" s="3">
        <v>7</v>
      </c>
      <c r="L63" s="3">
        <v>30</v>
      </c>
      <c r="M63" s="3">
        <f t="shared" si="0"/>
        <v>111</v>
      </c>
      <c r="N63" s="4">
        <f t="shared" si="1"/>
        <v>3.1179775280898877E-2</v>
      </c>
      <c r="O63" s="4">
        <f t="shared" si="2"/>
        <v>0.10908868051725194</v>
      </c>
    </row>
    <row r="64" spans="1:15" x14ac:dyDescent="0.3">
      <c r="A64" s="2" t="s">
        <v>128</v>
      </c>
      <c r="B64" s="2" t="s">
        <v>125</v>
      </c>
      <c r="C64" s="2" t="s">
        <v>52</v>
      </c>
      <c r="D64" s="2" t="s">
        <v>50</v>
      </c>
      <c r="E64" s="2" t="s">
        <v>46</v>
      </c>
      <c r="F64" s="2" t="s">
        <v>47</v>
      </c>
      <c r="G64" s="3">
        <v>10050</v>
      </c>
      <c r="H64" s="3">
        <v>1741</v>
      </c>
      <c r="I64" s="3">
        <v>2776</v>
      </c>
      <c r="J64" s="3">
        <v>34</v>
      </c>
      <c r="K64" s="3">
        <v>5</v>
      </c>
      <c r="L64" s="3">
        <v>9</v>
      </c>
      <c r="M64" s="3">
        <f t="shared" si="0"/>
        <v>48</v>
      </c>
      <c r="N64" s="4">
        <f t="shared" si="1"/>
        <v>2.7570361860999426E-2</v>
      </c>
      <c r="O64" s="4">
        <f t="shared" si="2"/>
        <v>0.17323383084577115</v>
      </c>
    </row>
    <row r="65" spans="1:15" x14ac:dyDescent="0.3">
      <c r="A65" s="2" t="s">
        <v>129</v>
      </c>
      <c r="B65" s="2" t="s">
        <v>130</v>
      </c>
      <c r="C65" s="2" t="s">
        <v>45</v>
      </c>
      <c r="D65" s="2" t="s">
        <v>50</v>
      </c>
      <c r="E65" s="2" t="s">
        <v>46</v>
      </c>
      <c r="F65" s="2" t="s">
        <v>20</v>
      </c>
      <c r="G65" s="3">
        <v>10318</v>
      </c>
      <c r="H65" s="3">
        <v>3199</v>
      </c>
      <c r="I65" s="3">
        <v>3678</v>
      </c>
      <c r="J65" s="3">
        <v>29</v>
      </c>
      <c r="K65" s="3">
        <v>5</v>
      </c>
      <c r="L65" s="3">
        <v>9</v>
      </c>
      <c r="M65" s="3">
        <f t="shared" si="0"/>
        <v>43</v>
      </c>
      <c r="N65" s="4">
        <f t="shared" si="1"/>
        <v>1.3441700531416068E-2</v>
      </c>
      <c r="O65" s="4">
        <f t="shared" si="2"/>
        <v>0.3100407055630936</v>
      </c>
    </row>
    <row r="66" spans="1:15" x14ac:dyDescent="0.3">
      <c r="A66" s="2" t="s">
        <v>131</v>
      </c>
      <c r="B66" s="2" t="s">
        <v>132</v>
      </c>
      <c r="C66" s="2" t="s">
        <v>83</v>
      </c>
      <c r="D66" s="2" t="s">
        <v>33</v>
      </c>
      <c r="E66" s="2" t="s">
        <v>29</v>
      </c>
      <c r="F66" s="2" t="s">
        <v>41</v>
      </c>
      <c r="G66" s="3">
        <v>25876</v>
      </c>
      <c r="H66" s="3">
        <v>8154</v>
      </c>
      <c r="I66" s="3">
        <v>11787</v>
      </c>
      <c r="J66" s="3">
        <v>119</v>
      </c>
      <c r="K66" s="3">
        <v>16</v>
      </c>
      <c r="L66" s="3">
        <v>47</v>
      </c>
      <c r="M66" s="3">
        <f t="shared" ref="M66:M129" si="3">SUM(J66:L66)</f>
        <v>182</v>
      </c>
      <c r="N66" s="4">
        <f t="shared" ref="N66:N129" si="4">IFERROR(M66/H66,0)</f>
        <v>2.2320333578611726E-2</v>
      </c>
      <c r="O66" s="4">
        <f t="shared" ref="O66:O129" si="5">IFERROR(H66/G66,0)</f>
        <v>0.31511825629927348</v>
      </c>
    </row>
    <row r="67" spans="1:15" x14ac:dyDescent="0.3">
      <c r="A67" s="2" t="s">
        <v>133</v>
      </c>
      <c r="B67" s="2" t="s">
        <v>132</v>
      </c>
      <c r="C67" s="2" t="s">
        <v>55</v>
      </c>
      <c r="D67" s="2" t="s">
        <v>23</v>
      </c>
      <c r="E67" s="2" t="s">
        <v>46</v>
      </c>
      <c r="F67" s="2" t="s">
        <v>67</v>
      </c>
      <c r="G67" s="3">
        <v>32814</v>
      </c>
      <c r="H67" s="3">
        <v>5713</v>
      </c>
      <c r="I67" s="3">
        <v>7362</v>
      </c>
      <c r="J67" s="3">
        <v>43</v>
      </c>
      <c r="K67" s="3">
        <v>5</v>
      </c>
      <c r="L67" s="3">
        <v>9</v>
      </c>
      <c r="M67" s="3">
        <f t="shared" si="3"/>
        <v>57</v>
      </c>
      <c r="N67" s="4">
        <f t="shared" si="4"/>
        <v>9.9772448800980219E-3</v>
      </c>
      <c r="O67" s="4">
        <f t="shared" si="5"/>
        <v>0.17410251721826051</v>
      </c>
    </row>
    <row r="68" spans="1:15" x14ac:dyDescent="0.3">
      <c r="A68" s="2" t="s">
        <v>134</v>
      </c>
      <c r="B68" s="2" t="s">
        <v>132</v>
      </c>
      <c r="C68" s="2" t="s">
        <v>22</v>
      </c>
      <c r="D68" s="2" t="s">
        <v>50</v>
      </c>
      <c r="E68" s="2" t="s">
        <v>24</v>
      </c>
      <c r="F68" s="2" t="s">
        <v>41</v>
      </c>
      <c r="G68" s="3">
        <v>10225</v>
      </c>
      <c r="H68" s="3">
        <v>2383</v>
      </c>
      <c r="I68" s="3">
        <v>2773</v>
      </c>
      <c r="J68" s="3">
        <v>35</v>
      </c>
      <c r="K68" s="3">
        <v>5</v>
      </c>
      <c r="L68" s="3">
        <v>11</v>
      </c>
      <c r="M68" s="3">
        <f t="shared" si="3"/>
        <v>51</v>
      </c>
      <c r="N68" s="4">
        <f t="shared" si="4"/>
        <v>2.1401594628619389E-2</v>
      </c>
      <c r="O68" s="4">
        <f t="shared" si="5"/>
        <v>0.23305623471882642</v>
      </c>
    </row>
    <row r="69" spans="1:15" x14ac:dyDescent="0.3">
      <c r="A69" s="2" t="s">
        <v>135</v>
      </c>
      <c r="B69" s="2" t="s">
        <v>132</v>
      </c>
      <c r="C69" s="2" t="s">
        <v>43</v>
      </c>
      <c r="D69" s="2" t="s">
        <v>28</v>
      </c>
      <c r="E69" s="2" t="s">
        <v>29</v>
      </c>
      <c r="F69" s="2" t="s">
        <v>41</v>
      </c>
      <c r="G69" s="3">
        <v>44134</v>
      </c>
      <c r="H69" s="3">
        <v>26814</v>
      </c>
      <c r="I69" s="3">
        <v>38032</v>
      </c>
      <c r="J69" s="3">
        <v>655</v>
      </c>
      <c r="K69" s="3">
        <v>137</v>
      </c>
      <c r="L69" s="3">
        <v>146</v>
      </c>
      <c r="M69" s="3">
        <f t="shared" si="3"/>
        <v>938</v>
      </c>
      <c r="N69" s="4">
        <f t="shared" si="4"/>
        <v>3.4981725964048631E-2</v>
      </c>
      <c r="O69" s="4">
        <f t="shared" si="5"/>
        <v>0.60755879820546521</v>
      </c>
    </row>
    <row r="70" spans="1:15" x14ac:dyDescent="0.3">
      <c r="A70" s="2" t="s">
        <v>136</v>
      </c>
      <c r="B70" s="2" t="s">
        <v>137</v>
      </c>
      <c r="C70" s="2" t="s">
        <v>52</v>
      </c>
      <c r="D70" s="2" t="s">
        <v>23</v>
      </c>
      <c r="E70" s="2" t="s">
        <v>40</v>
      </c>
      <c r="F70" s="2" t="s">
        <v>41</v>
      </c>
      <c r="G70" s="3">
        <v>31652</v>
      </c>
      <c r="H70" s="3">
        <v>4829</v>
      </c>
      <c r="I70" s="3">
        <v>7416</v>
      </c>
      <c r="J70" s="3">
        <v>207</v>
      </c>
      <c r="K70" s="3">
        <v>15</v>
      </c>
      <c r="L70" s="3">
        <v>67</v>
      </c>
      <c r="M70" s="3">
        <f t="shared" si="3"/>
        <v>289</v>
      </c>
      <c r="N70" s="4">
        <f t="shared" si="4"/>
        <v>5.9846759163387865E-2</v>
      </c>
      <c r="O70" s="4">
        <f t="shared" si="5"/>
        <v>0.15256539871098193</v>
      </c>
    </row>
    <row r="71" spans="1:15" x14ac:dyDescent="0.3">
      <c r="A71" s="2" t="s">
        <v>138</v>
      </c>
      <c r="B71" s="2" t="s">
        <v>137</v>
      </c>
      <c r="C71" s="2" t="s">
        <v>27</v>
      </c>
      <c r="D71" s="2" t="s">
        <v>50</v>
      </c>
      <c r="E71" s="2" t="s">
        <v>40</v>
      </c>
      <c r="F71" s="2" t="s">
        <v>47</v>
      </c>
      <c r="G71" s="3">
        <v>10033</v>
      </c>
      <c r="H71" s="3">
        <v>3449</v>
      </c>
      <c r="I71" s="3">
        <v>5263</v>
      </c>
      <c r="J71" s="3">
        <v>95</v>
      </c>
      <c r="K71" s="3">
        <v>14</v>
      </c>
      <c r="L71" s="3">
        <v>33</v>
      </c>
      <c r="M71" s="3">
        <f t="shared" si="3"/>
        <v>142</v>
      </c>
      <c r="N71" s="4">
        <f t="shared" si="4"/>
        <v>4.1171354015656712E-2</v>
      </c>
      <c r="O71" s="4">
        <f t="shared" si="5"/>
        <v>0.34376557360709659</v>
      </c>
    </row>
    <row r="72" spans="1:15" x14ac:dyDescent="0.3">
      <c r="A72" s="2" t="s">
        <v>139</v>
      </c>
      <c r="B72" s="2" t="s">
        <v>137</v>
      </c>
      <c r="C72" s="2" t="s">
        <v>43</v>
      </c>
      <c r="D72" s="2" t="s">
        <v>28</v>
      </c>
      <c r="E72" s="2" t="s">
        <v>34</v>
      </c>
      <c r="F72" s="2" t="s">
        <v>47</v>
      </c>
      <c r="G72" s="3">
        <v>44444</v>
      </c>
      <c r="H72" s="3">
        <v>29822</v>
      </c>
      <c r="I72" s="3">
        <v>36018</v>
      </c>
      <c r="J72" s="3">
        <v>1178</v>
      </c>
      <c r="K72" s="3">
        <v>204</v>
      </c>
      <c r="L72" s="3">
        <v>316</v>
      </c>
      <c r="M72" s="3">
        <f t="shared" si="3"/>
        <v>1698</v>
      </c>
      <c r="N72" s="4">
        <f t="shared" si="4"/>
        <v>5.693783113137952E-2</v>
      </c>
      <c r="O72" s="4">
        <f t="shared" si="5"/>
        <v>0.67100171001710018</v>
      </c>
    </row>
    <row r="73" spans="1:15" x14ac:dyDescent="0.3">
      <c r="A73" s="2" t="s">
        <v>140</v>
      </c>
      <c r="B73" s="2" t="s">
        <v>141</v>
      </c>
      <c r="C73" s="2" t="s">
        <v>43</v>
      </c>
      <c r="D73" s="2" t="s">
        <v>23</v>
      </c>
      <c r="E73" s="2" t="s">
        <v>40</v>
      </c>
      <c r="F73" s="2" t="s">
        <v>25</v>
      </c>
      <c r="G73" s="3">
        <v>32828</v>
      </c>
      <c r="H73" s="3">
        <v>4962</v>
      </c>
      <c r="I73" s="3">
        <v>8512</v>
      </c>
      <c r="J73" s="3">
        <v>295</v>
      </c>
      <c r="K73" s="3">
        <v>55</v>
      </c>
      <c r="L73" s="3">
        <v>77</v>
      </c>
      <c r="M73" s="3">
        <f t="shared" si="3"/>
        <v>427</v>
      </c>
      <c r="N73" s="4">
        <f t="shared" si="4"/>
        <v>8.605401047964531E-2</v>
      </c>
      <c r="O73" s="4">
        <f t="shared" si="5"/>
        <v>0.15115145607408309</v>
      </c>
    </row>
    <row r="74" spans="1:15" x14ac:dyDescent="0.3">
      <c r="A74" s="2" t="s">
        <v>142</v>
      </c>
      <c r="B74" s="2" t="s">
        <v>141</v>
      </c>
      <c r="C74" s="2" t="s">
        <v>27</v>
      </c>
      <c r="D74" s="2" t="s">
        <v>50</v>
      </c>
      <c r="E74" s="2" t="s">
        <v>29</v>
      </c>
      <c r="F74" s="2" t="s">
        <v>67</v>
      </c>
      <c r="G74" s="3">
        <v>10117</v>
      </c>
      <c r="H74" s="3">
        <v>1908</v>
      </c>
      <c r="I74" s="3">
        <v>2882</v>
      </c>
      <c r="J74" s="3">
        <v>99</v>
      </c>
      <c r="K74" s="3">
        <v>8</v>
      </c>
      <c r="L74" s="3">
        <v>30</v>
      </c>
      <c r="M74" s="3">
        <f t="shared" si="3"/>
        <v>137</v>
      </c>
      <c r="N74" s="4">
        <f t="shared" si="4"/>
        <v>7.1802935010482183E-2</v>
      </c>
      <c r="O74" s="4">
        <f t="shared" si="5"/>
        <v>0.18859345655826826</v>
      </c>
    </row>
    <row r="75" spans="1:15" x14ac:dyDescent="0.3">
      <c r="A75" s="2" t="s">
        <v>143</v>
      </c>
      <c r="B75" s="2" t="s">
        <v>141</v>
      </c>
      <c r="C75" s="2" t="s">
        <v>43</v>
      </c>
      <c r="D75" s="2" t="s">
        <v>28</v>
      </c>
      <c r="E75" s="2" t="s">
        <v>24</v>
      </c>
      <c r="F75" s="2" t="s">
        <v>41</v>
      </c>
      <c r="G75" s="3">
        <v>43660</v>
      </c>
      <c r="H75" s="3">
        <v>20046</v>
      </c>
      <c r="I75" s="3">
        <v>24697</v>
      </c>
      <c r="J75" s="3">
        <v>478</v>
      </c>
      <c r="K75" s="3">
        <v>47</v>
      </c>
      <c r="L75" s="3">
        <v>125</v>
      </c>
      <c r="M75" s="3">
        <f t="shared" si="3"/>
        <v>650</v>
      </c>
      <c r="N75" s="4">
        <f t="shared" si="4"/>
        <v>3.2425421530479899E-2</v>
      </c>
      <c r="O75" s="4">
        <f t="shared" si="5"/>
        <v>0.45913879981676592</v>
      </c>
    </row>
    <row r="76" spans="1:15" x14ac:dyDescent="0.3">
      <c r="A76" s="2" t="s">
        <v>144</v>
      </c>
      <c r="B76" s="2" t="s">
        <v>145</v>
      </c>
      <c r="C76" s="2" t="s">
        <v>45</v>
      </c>
      <c r="D76" s="2" t="s">
        <v>33</v>
      </c>
      <c r="E76" s="2" t="s">
        <v>46</v>
      </c>
      <c r="F76" s="2" t="s">
        <v>41</v>
      </c>
      <c r="G76" s="3">
        <v>25441</v>
      </c>
      <c r="H76" s="3">
        <v>9138</v>
      </c>
      <c r="I76" s="3">
        <v>15301</v>
      </c>
      <c r="J76" s="3">
        <v>243</v>
      </c>
      <c r="K76" s="3">
        <v>37</v>
      </c>
      <c r="L76" s="3">
        <v>92</v>
      </c>
      <c r="M76" s="3">
        <f t="shared" si="3"/>
        <v>372</v>
      </c>
      <c r="N76" s="4">
        <f t="shared" si="4"/>
        <v>4.0709126723571895E-2</v>
      </c>
      <c r="O76" s="4">
        <f t="shared" si="5"/>
        <v>0.35918399433984516</v>
      </c>
    </row>
    <row r="77" spans="1:15" x14ac:dyDescent="0.3">
      <c r="A77" s="2" t="s">
        <v>146</v>
      </c>
      <c r="B77" s="2" t="s">
        <v>145</v>
      </c>
      <c r="C77" s="2" t="s">
        <v>52</v>
      </c>
      <c r="D77" s="2" t="s">
        <v>18</v>
      </c>
      <c r="E77" s="2" t="s">
        <v>40</v>
      </c>
      <c r="F77" s="2" t="s">
        <v>30</v>
      </c>
      <c r="G77" s="3">
        <v>19005</v>
      </c>
      <c r="H77" s="3">
        <v>3637</v>
      </c>
      <c r="I77" s="3">
        <v>5839</v>
      </c>
      <c r="J77" s="3">
        <v>154</v>
      </c>
      <c r="K77" s="3">
        <v>22</v>
      </c>
      <c r="L77" s="3">
        <v>53</v>
      </c>
      <c r="M77" s="3">
        <f t="shared" si="3"/>
        <v>229</v>
      </c>
      <c r="N77" s="4">
        <f t="shared" si="4"/>
        <v>6.2963981303271924E-2</v>
      </c>
      <c r="O77" s="4">
        <f t="shared" si="5"/>
        <v>0.1913706919231781</v>
      </c>
    </row>
    <row r="78" spans="1:15" x14ac:dyDescent="0.3">
      <c r="A78" s="2" t="s">
        <v>147</v>
      </c>
      <c r="B78" s="2" t="s">
        <v>145</v>
      </c>
      <c r="C78" s="2" t="s">
        <v>64</v>
      </c>
      <c r="D78" s="2" t="s">
        <v>18</v>
      </c>
      <c r="E78" s="2" t="s">
        <v>29</v>
      </c>
      <c r="F78" s="2" t="s">
        <v>41</v>
      </c>
      <c r="G78" s="3">
        <v>19100</v>
      </c>
      <c r="H78" s="3">
        <v>5163</v>
      </c>
      <c r="I78" s="3">
        <v>8759</v>
      </c>
      <c r="J78" s="3">
        <v>260</v>
      </c>
      <c r="K78" s="3">
        <v>45</v>
      </c>
      <c r="L78" s="3">
        <v>69</v>
      </c>
      <c r="M78" s="3">
        <f t="shared" si="3"/>
        <v>374</v>
      </c>
      <c r="N78" s="4">
        <f t="shared" si="4"/>
        <v>7.2438504745303112E-2</v>
      </c>
      <c r="O78" s="4">
        <f t="shared" si="5"/>
        <v>0.27031413612565447</v>
      </c>
    </row>
    <row r="79" spans="1:15" x14ac:dyDescent="0.3">
      <c r="A79" s="2" t="s">
        <v>148</v>
      </c>
      <c r="B79" s="2" t="s">
        <v>145</v>
      </c>
      <c r="C79" s="2" t="s">
        <v>73</v>
      </c>
      <c r="D79" s="2" t="s">
        <v>50</v>
      </c>
      <c r="E79" s="2" t="s">
        <v>46</v>
      </c>
      <c r="F79" s="2" t="s">
        <v>35</v>
      </c>
      <c r="G79" s="3">
        <v>10426</v>
      </c>
      <c r="H79" s="3">
        <v>3041</v>
      </c>
      <c r="I79" s="3">
        <v>4268</v>
      </c>
      <c r="J79" s="3">
        <v>32</v>
      </c>
      <c r="K79" s="3">
        <v>3</v>
      </c>
      <c r="L79" s="3">
        <v>6</v>
      </c>
      <c r="M79" s="3">
        <f t="shared" si="3"/>
        <v>41</v>
      </c>
      <c r="N79" s="4">
        <f t="shared" si="4"/>
        <v>1.3482407102926669E-2</v>
      </c>
      <c r="O79" s="4">
        <f t="shared" si="5"/>
        <v>0.29167465950508342</v>
      </c>
    </row>
    <row r="80" spans="1:15" x14ac:dyDescent="0.3">
      <c r="A80" s="2" t="s">
        <v>149</v>
      </c>
      <c r="B80" s="2" t="s">
        <v>145</v>
      </c>
      <c r="C80" s="2" t="s">
        <v>22</v>
      </c>
      <c r="D80" s="2" t="s">
        <v>50</v>
      </c>
      <c r="E80" s="2" t="s">
        <v>29</v>
      </c>
      <c r="F80" s="2" t="s">
        <v>67</v>
      </c>
      <c r="G80" s="3">
        <v>10037</v>
      </c>
      <c r="H80" s="3">
        <v>3042</v>
      </c>
      <c r="I80" s="3">
        <v>3970</v>
      </c>
      <c r="J80" s="3">
        <v>91</v>
      </c>
      <c r="K80" s="3">
        <v>13</v>
      </c>
      <c r="L80" s="3">
        <v>21</v>
      </c>
      <c r="M80" s="3">
        <f t="shared" si="3"/>
        <v>125</v>
      </c>
      <c r="N80" s="4">
        <f t="shared" si="4"/>
        <v>4.1091387245233396E-2</v>
      </c>
      <c r="O80" s="4">
        <f t="shared" si="5"/>
        <v>0.30307860914615919</v>
      </c>
    </row>
    <row r="81" spans="1:15" x14ac:dyDescent="0.3">
      <c r="A81" s="2" t="s">
        <v>150</v>
      </c>
      <c r="B81" s="2" t="s">
        <v>145</v>
      </c>
      <c r="C81" s="2" t="s">
        <v>64</v>
      </c>
      <c r="D81" s="2" t="s">
        <v>28</v>
      </c>
      <c r="E81" s="2" t="s">
        <v>40</v>
      </c>
      <c r="F81" s="2" t="s">
        <v>25</v>
      </c>
      <c r="G81" s="3">
        <v>43810</v>
      </c>
      <c r="H81" s="3">
        <v>27558</v>
      </c>
      <c r="I81" s="3">
        <v>34792</v>
      </c>
      <c r="J81" s="3">
        <v>1650</v>
      </c>
      <c r="K81" s="3">
        <v>307</v>
      </c>
      <c r="L81" s="3">
        <v>243</v>
      </c>
      <c r="M81" s="3">
        <f t="shared" si="3"/>
        <v>2200</v>
      </c>
      <c r="N81" s="4">
        <f t="shared" si="4"/>
        <v>7.983162783946586E-2</v>
      </c>
      <c r="O81" s="4">
        <f t="shared" si="5"/>
        <v>0.62903446701666288</v>
      </c>
    </row>
    <row r="82" spans="1:15" x14ac:dyDescent="0.3">
      <c r="A82" s="2" t="s">
        <v>151</v>
      </c>
      <c r="B82" s="2" t="s">
        <v>145</v>
      </c>
      <c r="C82" s="2" t="s">
        <v>52</v>
      </c>
      <c r="D82" s="2" t="s">
        <v>28</v>
      </c>
      <c r="E82" s="2" t="s">
        <v>29</v>
      </c>
      <c r="F82" s="2" t="s">
        <v>20</v>
      </c>
      <c r="G82" s="3">
        <v>43067</v>
      </c>
      <c r="H82" s="3">
        <v>37227</v>
      </c>
      <c r="I82" s="3">
        <v>66686</v>
      </c>
      <c r="J82" s="3">
        <v>1189</v>
      </c>
      <c r="K82" s="3">
        <v>151</v>
      </c>
      <c r="L82" s="3">
        <v>239</v>
      </c>
      <c r="M82" s="3">
        <f t="shared" si="3"/>
        <v>1579</v>
      </c>
      <c r="N82" s="4">
        <f t="shared" si="4"/>
        <v>4.2415451151046286E-2</v>
      </c>
      <c r="O82" s="4">
        <f t="shared" si="5"/>
        <v>0.86439733438595678</v>
      </c>
    </row>
    <row r="83" spans="1:15" x14ac:dyDescent="0.3">
      <c r="A83" s="2" t="s">
        <v>152</v>
      </c>
      <c r="B83" s="2" t="s">
        <v>153</v>
      </c>
      <c r="C83" s="2" t="s">
        <v>52</v>
      </c>
      <c r="D83" s="2" t="s">
        <v>33</v>
      </c>
      <c r="E83" s="2" t="s">
        <v>40</v>
      </c>
      <c r="F83" s="2" t="s">
        <v>30</v>
      </c>
      <c r="G83" s="3">
        <v>25333</v>
      </c>
      <c r="H83" s="3">
        <v>8471</v>
      </c>
      <c r="I83" s="3">
        <v>12726</v>
      </c>
      <c r="J83" s="3">
        <v>713</v>
      </c>
      <c r="K83" s="3">
        <v>103</v>
      </c>
      <c r="L83" s="3">
        <v>80</v>
      </c>
      <c r="M83" s="3">
        <f t="shared" si="3"/>
        <v>896</v>
      </c>
      <c r="N83" s="4">
        <f t="shared" si="4"/>
        <v>0.10577263605241412</v>
      </c>
      <c r="O83" s="4">
        <f t="shared" si="5"/>
        <v>0.33438597876287846</v>
      </c>
    </row>
    <row r="84" spans="1:15" x14ac:dyDescent="0.3">
      <c r="A84" s="2" t="s">
        <v>154</v>
      </c>
      <c r="B84" s="2" t="s">
        <v>153</v>
      </c>
      <c r="C84" s="2" t="s">
        <v>17</v>
      </c>
      <c r="D84" s="2" t="s">
        <v>18</v>
      </c>
      <c r="E84" s="2" t="s">
        <v>46</v>
      </c>
      <c r="F84" s="2" t="s">
        <v>67</v>
      </c>
      <c r="G84" s="3">
        <v>19331</v>
      </c>
      <c r="H84" s="3">
        <v>4814</v>
      </c>
      <c r="I84" s="3">
        <v>8101</v>
      </c>
      <c r="J84" s="3">
        <v>132</v>
      </c>
      <c r="K84" s="3">
        <v>25</v>
      </c>
      <c r="L84" s="3">
        <v>36</v>
      </c>
      <c r="M84" s="3">
        <f t="shared" si="3"/>
        <v>193</v>
      </c>
      <c r="N84" s="4">
        <f t="shared" si="4"/>
        <v>4.0091400083090985E-2</v>
      </c>
      <c r="O84" s="4">
        <f t="shared" si="5"/>
        <v>0.24903005535150793</v>
      </c>
    </row>
    <row r="85" spans="1:15" x14ac:dyDescent="0.3">
      <c r="A85" s="2" t="s">
        <v>155</v>
      </c>
      <c r="B85" s="2" t="s">
        <v>156</v>
      </c>
      <c r="C85" s="2" t="s">
        <v>27</v>
      </c>
      <c r="D85" s="2" t="s">
        <v>18</v>
      </c>
      <c r="E85" s="2" t="s">
        <v>24</v>
      </c>
      <c r="F85" s="2" t="s">
        <v>79</v>
      </c>
      <c r="G85" s="3">
        <v>19261</v>
      </c>
      <c r="H85" s="3">
        <v>2273</v>
      </c>
      <c r="I85" s="3">
        <v>2969</v>
      </c>
      <c r="J85" s="3">
        <v>52</v>
      </c>
      <c r="K85" s="3">
        <v>4</v>
      </c>
      <c r="L85" s="3">
        <v>21</v>
      </c>
      <c r="M85" s="3">
        <f t="shared" si="3"/>
        <v>77</v>
      </c>
      <c r="N85" s="4">
        <f t="shared" si="4"/>
        <v>3.3875934887813465E-2</v>
      </c>
      <c r="O85" s="4">
        <f t="shared" si="5"/>
        <v>0.11801048751362858</v>
      </c>
    </row>
    <row r="86" spans="1:15" x14ac:dyDescent="0.3">
      <c r="A86" s="2" t="s">
        <v>157</v>
      </c>
      <c r="B86" s="2" t="s">
        <v>156</v>
      </c>
      <c r="C86" s="2" t="s">
        <v>49</v>
      </c>
      <c r="D86" s="2" t="s">
        <v>50</v>
      </c>
      <c r="E86" s="2" t="s">
        <v>29</v>
      </c>
      <c r="F86" s="2" t="s">
        <v>20</v>
      </c>
      <c r="G86" s="3">
        <v>10176</v>
      </c>
      <c r="H86" s="3">
        <v>3151</v>
      </c>
      <c r="I86" s="3">
        <v>4528</v>
      </c>
      <c r="J86" s="3">
        <v>147</v>
      </c>
      <c r="K86" s="3">
        <v>16</v>
      </c>
      <c r="L86" s="3">
        <v>30</v>
      </c>
      <c r="M86" s="3">
        <f t="shared" si="3"/>
        <v>193</v>
      </c>
      <c r="N86" s="4">
        <f t="shared" si="4"/>
        <v>6.1250396699460488E-2</v>
      </c>
      <c r="O86" s="4">
        <f t="shared" si="5"/>
        <v>0.30965015723270439</v>
      </c>
    </row>
    <row r="87" spans="1:15" x14ac:dyDescent="0.3">
      <c r="A87" s="2" t="s">
        <v>158</v>
      </c>
      <c r="B87" s="2" t="s">
        <v>156</v>
      </c>
      <c r="C87" s="2" t="s">
        <v>64</v>
      </c>
      <c r="D87" s="2" t="s">
        <v>28</v>
      </c>
      <c r="E87" s="2" t="s">
        <v>19</v>
      </c>
      <c r="F87" s="2" t="s">
        <v>41</v>
      </c>
      <c r="G87" s="3">
        <v>44864</v>
      </c>
      <c r="H87" s="3">
        <v>34679</v>
      </c>
      <c r="I87" s="3">
        <v>47026</v>
      </c>
      <c r="J87" s="3">
        <v>1486</v>
      </c>
      <c r="K87" s="3">
        <v>236</v>
      </c>
      <c r="L87" s="3">
        <v>558</v>
      </c>
      <c r="M87" s="3">
        <f t="shared" si="3"/>
        <v>2280</v>
      </c>
      <c r="N87" s="4">
        <f t="shared" si="4"/>
        <v>6.5745840422157503E-2</v>
      </c>
      <c r="O87" s="4">
        <f t="shared" si="5"/>
        <v>0.77298056348074184</v>
      </c>
    </row>
    <row r="88" spans="1:15" x14ac:dyDescent="0.3">
      <c r="A88" s="2" t="s">
        <v>159</v>
      </c>
      <c r="B88" s="2" t="s">
        <v>156</v>
      </c>
      <c r="C88" s="2" t="s">
        <v>27</v>
      </c>
      <c r="D88" s="2" t="s">
        <v>28</v>
      </c>
      <c r="E88" s="2" t="s">
        <v>29</v>
      </c>
      <c r="F88" s="2" t="s">
        <v>35</v>
      </c>
      <c r="G88" s="3">
        <v>44190</v>
      </c>
      <c r="H88" s="3">
        <v>34670</v>
      </c>
      <c r="I88" s="3">
        <v>60956</v>
      </c>
      <c r="J88" s="3">
        <v>565</v>
      </c>
      <c r="K88" s="3">
        <v>43</v>
      </c>
      <c r="L88" s="3">
        <v>218</v>
      </c>
      <c r="M88" s="3">
        <f t="shared" si="3"/>
        <v>826</v>
      </c>
      <c r="N88" s="4">
        <f t="shared" si="4"/>
        <v>2.3824632246899336E-2</v>
      </c>
      <c r="O88" s="4">
        <f t="shared" si="5"/>
        <v>0.78456664403711251</v>
      </c>
    </row>
    <row r="89" spans="1:15" x14ac:dyDescent="0.3">
      <c r="A89" s="2" t="s">
        <v>160</v>
      </c>
      <c r="B89" s="2" t="s">
        <v>161</v>
      </c>
      <c r="C89" s="2" t="s">
        <v>39</v>
      </c>
      <c r="D89" s="2" t="s">
        <v>33</v>
      </c>
      <c r="E89" s="2" t="s">
        <v>46</v>
      </c>
      <c r="F89" s="2" t="s">
        <v>30</v>
      </c>
      <c r="G89" s="3">
        <v>25874</v>
      </c>
      <c r="H89" s="3">
        <v>7900</v>
      </c>
      <c r="I89" s="3">
        <v>12566</v>
      </c>
      <c r="J89" s="3">
        <v>139</v>
      </c>
      <c r="K89" s="3">
        <v>11</v>
      </c>
      <c r="L89" s="3">
        <v>59</v>
      </c>
      <c r="M89" s="3">
        <f t="shared" si="3"/>
        <v>209</v>
      </c>
      <c r="N89" s="4">
        <f t="shared" si="4"/>
        <v>2.6455696202531645E-2</v>
      </c>
      <c r="O89" s="4">
        <f t="shared" si="5"/>
        <v>0.30532580969312823</v>
      </c>
    </row>
    <row r="90" spans="1:15" x14ac:dyDescent="0.3">
      <c r="A90" s="2" t="s">
        <v>162</v>
      </c>
      <c r="B90" s="2" t="s">
        <v>161</v>
      </c>
      <c r="C90" s="2" t="s">
        <v>43</v>
      </c>
      <c r="D90" s="2" t="s">
        <v>18</v>
      </c>
      <c r="E90" s="2" t="s">
        <v>34</v>
      </c>
      <c r="F90" s="2" t="s">
        <v>25</v>
      </c>
      <c r="G90" s="3">
        <v>19413</v>
      </c>
      <c r="H90" s="3">
        <v>2468</v>
      </c>
      <c r="I90" s="3">
        <v>3498</v>
      </c>
      <c r="J90" s="3">
        <v>84</v>
      </c>
      <c r="K90" s="3">
        <v>16</v>
      </c>
      <c r="L90" s="3">
        <v>11</v>
      </c>
      <c r="M90" s="3">
        <f t="shared" si="3"/>
        <v>111</v>
      </c>
      <c r="N90" s="4">
        <f t="shared" si="4"/>
        <v>4.4975688816855756E-2</v>
      </c>
      <c r="O90" s="4">
        <f t="shared" si="5"/>
        <v>0.12713130376551796</v>
      </c>
    </row>
    <row r="91" spans="1:15" x14ac:dyDescent="0.3">
      <c r="A91" s="2" t="s">
        <v>163</v>
      </c>
      <c r="B91" s="2" t="s">
        <v>164</v>
      </c>
      <c r="C91" s="2" t="s">
        <v>55</v>
      </c>
      <c r="D91" s="2" t="s">
        <v>28</v>
      </c>
      <c r="E91" s="2" t="s">
        <v>19</v>
      </c>
      <c r="F91" s="2" t="s">
        <v>47</v>
      </c>
      <c r="G91" s="3">
        <v>44094</v>
      </c>
      <c r="H91" s="3">
        <v>17790</v>
      </c>
      <c r="I91" s="3">
        <v>24085</v>
      </c>
      <c r="J91" s="3">
        <v>963</v>
      </c>
      <c r="K91" s="3">
        <v>191</v>
      </c>
      <c r="L91" s="3">
        <v>213</v>
      </c>
      <c r="M91" s="3">
        <f t="shared" si="3"/>
        <v>1367</v>
      </c>
      <c r="N91" s="4">
        <f t="shared" si="4"/>
        <v>7.684092186621698E-2</v>
      </c>
      <c r="O91" s="4">
        <f t="shared" si="5"/>
        <v>0.40345625255136752</v>
      </c>
    </row>
    <row r="92" spans="1:15" x14ac:dyDescent="0.3">
      <c r="A92" s="2" t="s">
        <v>165</v>
      </c>
      <c r="B92" s="2" t="s">
        <v>166</v>
      </c>
      <c r="C92" s="2" t="s">
        <v>39</v>
      </c>
      <c r="D92" s="2" t="s">
        <v>33</v>
      </c>
      <c r="E92" s="2" t="s">
        <v>19</v>
      </c>
      <c r="F92" s="2" t="s">
        <v>30</v>
      </c>
      <c r="G92" s="3">
        <v>26286</v>
      </c>
      <c r="H92" s="3">
        <v>10580</v>
      </c>
      <c r="I92" s="3">
        <v>12316</v>
      </c>
      <c r="J92" s="3">
        <v>251</v>
      </c>
      <c r="K92" s="3">
        <v>49</v>
      </c>
      <c r="L92" s="3">
        <v>37</v>
      </c>
      <c r="M92" s="3">
        <f t="shared" si="3"/>
        <v>337</v>
      </c>
      <c r="N92" s="4">
        <f t="shared" si="4"/>
        <v>3.1852551984877124E-2</v>
      </c>
      <c r="O92" s="4">
        <f t="shared" si="5"/>
        <v>0.40249562504755382</v>
      </c>
    </row>
    <row r="93" spans="1:15" x14ac:dyDescent="0.3">
      <c r="A93" s="2" t="s">
        <v>167</v>
      </c>
      <c r="B93" s="2" t="s">
        <v>166</v>
      </c>
      <c r="C93" s="2" t="s">
        <v>22</v>
      </c>
      <c r="D93" s="2" t="s">
        <v>23</v>
      </c>
      <c r="E93" s="2" t="s">
        <v>24</v>
      </c>
      <c r="F93" s="2" t="s">
        <v>25</v>
      </c>
      <c r="G93" s="3">
        <v>32110</v>
      </c>
      <c r="H93" s="3">
        <v>6008</v>
      </c>
      <c r="I93" s="3">
        <v>7480</v>
      </c>
      <c r="J93" s="3">
        <v>80</v>
      </c>
      <c r="K93" s="3">
        <v>8</v>
      </c>
      <c r="L93" s="3">
        <v>15</v>
      </c>
      <c r="M93" s="3">
        <f t="shared" si="3"/>
        <v>103</v>
      </c>
      <c r="N93" s="4">
        <f t="shared" si="4"/>
        <v>1.7143808255659122E-2</v>
      </c>
      <c r="O93" s="4">
        <f t="shared" si="5"/>
        <v>0.18710682030520087</v>
      </c>
    </row>
    <row r="94" spans="1:15" x14ac:dyDescent="0.3">
      <c r="A94" s="2" t="s">
        <v>168</v>
      </c>
      <c r="B94" s="2" t="s">
        <v>166</v>
      </c>
      <c r="C94" s="2" t="s">
        <v>39</v>
      </c>
      <c r="D94" s="2" t="s">
        <v>23</v>
      </c>
      <c r="E94" s="2" t="s">
        <v>24</v>
      </c>
      <c r="F94" s="2" t="s">
        <v>67</v>
      </c>
      <c r="G94" s="3">
        <v>32382</v>
      </c>
      <c r="H94" s="3">
        <v>7051</v>
      </c>
      <c r="I94" s="3">
        <v>12630</v>
      </c>
      <c r="J94" s="3">
        <v>149</v>
      </c>
      <c r="K94" s="3">
        <v>11</v>
      </c>
      <c r="L94" s="3">
        <v>34</v>
      </c>
      <c r="M94" s="3">
        <f t="shared" si="3"/>
        <v>194</v>
      </c>
      <c r="N94" s="4">
        <f t="shared" si="4"/>
        <v>2.7513827825840307E-2</v>
      </c>
      <c r="O94" s="4">
        <f t="shared" si="5"/>
        <v>0.21774442591563214</v>
      </c>
    </row>
    <row r="95" spans="1:15" x14ac:dyDescent="0.3">
      <c r="A95" s="2" t="s">
        <v>169</v>
      </c>
      <c r="B95" s="2" t="s">
        <v>166</v>
      </c>
      <c r="C95" s="2" t="s">
        <v>64</v>
      </c>
      <c r="D95" s="2" t="s">
        <v>50</v>
      </c>
      <c r="E95" s="2" t="s">
        <v>19</v>
      </c>
      <c r="F95" s="2" t="s">
        <v>79</v>
      </c>
      <c r="G95" s="3">
        <v>10129</v>
      </c>
      <c r="H95" s="3">
        <v>1833</v>
      </c>
      <c r="I95" s="3">
        <v>2178</v>
      </c>
      <c r="J95" s="3">
        <v>53</v>
      </c>
      <c r="K95" s="3">
        <v>4</v>
      </c>
      <c r="L95" s="3">
        <v>23</v>
      </c>
      <c r="M95" s="3">
        <f t="shared" si="3"/>
        <v>80</v>
      </c>
      <c r="N95" s="4">
        <f t="shared" si="4"/>
        <v>4.3644298963447903E-2</v>
      </c>
      <c r="O95" s="4">
        <f t="shared" si="5"/>
        <v>0.18096554447625629</v>
      </c>
    </row>
    <row r="96" spans="1:15" x14ac:dyDescent="0.3">
      <c r="A96" s="2" t="s">
        <v>170</v>
      </c>
      <c r="B96" s="2" t="s">
        <v>171</v>
      </c>
      <c r="C96" s="2" t="s">
        <v>39</v>
      </c>
      <c r="D96" s="2" t="s">
        <v>33</v>
      </c>
      <c r="E96" s="2" t="s">
        <v>24</v>
      </c>
      <c r="F96" s="2" t="s">
        <v>25</v>
      </c>
      <c r="G96" s="3">
        <v>26327</v>
      </c>
      <c r="H96" s="3">
        <v>5047</v>
      </c>
      <c r="I96" s="3">
        <v>8318</v>
      </c>
      <c r="J96" s="3">
        <v>158</v>
      </c>
      <c r="K96" s="3">
        <v>32</v>
      </c>
      <c r="L96" s="3">
        <v>30</v>
      </c>
      <c r="M96" s="3">
        <f t="shared" si="3"/>
        <v>220</v>
      </c>
      <c r="N96" s="4">
        <f t="shared" si="4"/>
        <v>4.3590251634634439E-2</v>
      </c>
      <c r="O96" s="4">
        <f t="shared" si="5"/>
        <v>0.19170433395373571</v>
      </c>
    </row>
    <row r="97" spans="1:15" x14ac:dyDescent="0.3">
      <c r="A97" s="2" t="s">
        <v>172</v>
      </c>
      <c r="B97" s="2" t="s">
        <v>171</v>
      </c>
      <c r="C97" s="2" t="s">
        <v>22</v>
      </c>
      <c r="D97" s="2" t="s">
        <v>33</v>
      </c>
      <c r="E97" s="2" t="s">
        <v>40</v>
      </c>
      <c r="F97" s="2" t="s">
        <v>41</v>
      </c>
      <c r="G97" s="3">
        <v>25790</v>
      </c>
      <c r="H97" s="3">
        <v>5393</v>
      </c>
      <c r="I97" s="3">
        <v>8621</v>
      </c>
      <c r="J97" s="3">
        <v>259</v>
      </c>
      <c r="K97" s="3">
        <v>24</v>
      </c>
      <c r="L97" s="3">
        <v>88</v>
      </c>
      <c r="M97" s="3">
        <f t="shared" si="3"/>
        <v>371</v>
      </c>
      <c r="N97" s="4">
        <f t="shared" si="4"/>
        <v>6.8792879658816988E-2</v>
      </c>
      <c r="O97" s="4">
        <f t="shared" si="5"/>
        <v>0.2091120589375727</v>
      </c>
    </row>
    <row r="98" spans="1:15" x14ac:dyDescent="0.3">
      <c r="A98" s="2" t="s">
        <v>173</v>
      </c>
      <c r="B98" s="2" t="s">
        <v>171</v>
      </c>
      <c r="C98" s="2" t="s">
        <v>55</v>
      </c>
      <c r="D98" s="2" t="s">
        <v>18</v>
      </c>
      <c r="E98" s="2" t="s">
        <v>24</v>
      </c>
      <c r="F98" s="2" t="s">
        <v>79</v>
      </c>
      <c r="G98" s="3">
        <v>19124</v>
      </c>
      <c r="H98" s="3">
        <v>4197</v>
      </c>
      <c r="I98" s="3">
        <v>5483</v>
      </c>
      <c r="J98" s="3">
        <v>96</v>
      </c>
      <c r="K98" s="3">
        <v>7</v>
      </c>
      <c r="L98" s="3">
        <v>22</v>
      </c>
      <c r="M98" s="3">
        <f t="shared" si="3"/>
        <v>125</v>
      </c>
      <c r="N98" s="4">
        <f t="shared" si="4"/>
        <v>2.9783178460805339E-2</v>
      </c>
      <c r="O98" s="4">
        <f t="shared" si="5"/>
        <v>0.21946245555323154</v>
      </c>
    </row>
    <row r="99" spans="1:15" x14ac:dyDescent="0.3">
      <c r="A99" s="2" t="s">
        <v>174</v>
      </c>
      <c r="B99" s="2" t="s">
        <v>175</v>
      </c>
      <c r="C99" s="2" t="s">
        <v>22</v>
      </c>
      <c r="D99" s="2" t="s">
        <v>33</v>
      </c>
      <c r="E99" s="2" t="s">
        <v>19</v>
      </c>
      <c r="F99" s="2" t="s">
        <v>41</v>
      </c>
      <c r="G99" s="3">
        <v>25744</v>
      </c>
      <c r="H99" s="3">
        <v>7786</v>
      </c>
      <c r="I99" s="3">
        <v>10831</v>
      </c>
      <c r="J99" s="3">
        <v>165</v>
      </c>
      <c r="K99" s="3">
        <v>19</v>
      </c>
      <c r="L99" s="3">
        <v>37</v>
      </c>
      <c r="M99" s="3">
        <f t="shared" si="3"/>
        <v>221</v>
      </c>
      <c r="N99" s="4">
        <f t="shared" si="4"/>
        <v>2.8384279475982533E-2</v>
      </c>
      <c r="O99" s="4">
        <f t="shared" si="5"/>
        <v>0.30243940335612179</v>
      </c>
    </row>
    <row r="100" spans="1:15" x14ac:dyDescent="0.3">
      <c r="A100" s="2" t="s">
        <v>176</v>
      </c>
      <c r="B100" s="2" t="s">
        <v>175</v>
      </c>
      <c r="C100" s="2" t="s">
        <v>55</v>
      </c>
      <c r="D100" s="2" t="s">
        <v>23</v>
      </c>
      <c r="E100" s="2" t="s">
        <v>34</v>
      </c>
      <c r="F100" s="2" t="s">
        <v>30</v>
      </c>
      <c r="G100" s="3">
        <v>32696</v>
      </c>
      <c r="H100" s="3">
        <v>6023</v>
      </c>
      <c r="I100" s="3">
        <v>8196</v>
      </c>
      <c r="J100" s="3">
        <v>105</v>
      </c>
      <c r="K100" s="3">
        <v>14</v>
      </c>
      <c r="L100" s="3">
        <v>14</v>
      </c>
      <c r="M100" s="3">
        <f t="shared" si="3"/>
        <v>133</v>
      </c>
      <c r="N100" s="4">
        <f t="shared" si="4"/>
        <v>2.2082018927444796E-2</v>
      </c>
      <c r="O100" s="4">
        <f t="shared" si="5"/>
        <v>0.18421213604110595</v>
      </c>
    </row>
    <row r="101" spans="1:15" x14ac:dyDescent="0.3">
      <c r="A101" s="2" t="s">
        <v>177</v>
      </c>
      <c r="B101" s="2" t="s">
        <v>175</v>
      </c>
      <c r="C101" s="2" t="s">
        <v>83</v>
      </c>
      <c r="D101" s="2" t="s">
        <v>23</v>
      </c>
      <c r="E101" s="2" t="s">
        <v>34</v>
      </c>
      <c r="F101" s="2" t="s">
        <v>41</v>
      </c>
      <c r="G101" s="3">
        <v>32593</v>
      </c>
      <c r="H101" s="3">
        <v>5643</v>
      </c>
      <c r="I101" s="3">
        <v>9170</v>
      </c>
      <c r="J101" s="3">
        <v>289</v>
      </c>
      <c r="K101" s="3">
        <v>40</v>
      </c>
      <c r="L101" s="3">
        <v>35</v>
      </c>
      <c r="M101" s="3">
        <f t="shared" si="3"/>
        <v>364</v>
      </c>
      <c r="N101" s="4">
        <f t="shared" si="4"/>
        <v>6.4504696083643454E-2</v>
      </c>
      <c r="O101" s="4">
        <f t="shared" si="5"/>
        <v>0.1731353358083024</v>
      </c>
    </row>
    <row r="102" spans="1:15" x14ac:dyDescent="0.3">
      <c r="A102" s="2" t="s">
        <v>178</v>
      </c>
      <c r="B102" s="2" t="s">
        <v>175</v>
      </c>
      <c r="C102" s="2" t="s">
        <v>27</v>
      </c>
      <c r="D102" s="2" t="s">
        <v>50</v>
      </c>
      <c r="E102" s="2" t="s">
        <v>19</v>
      </c>
      <c r="F102" s="2" t="s">
        <v>47</v>
      </c>
      <c r="G102" s="3">
        <v>10250</v>
      </c>
      <c r="H102" s="3">
        <v>1485</v>
      </c>
      <c r="I102" s="3">
        <v>2512</v>
      </c>
      <c r="J102" s="3">
        <v>53</v>
      </c>
      <c r="K102" s="3">
        <v>9</v>
      </c>
      <c r="L102" s="3">
        <v>11</v>
      </c>
      <c r="M102" s="3">
        <f t="shared" si="3"/>
        <v>73</v>
      </c>
      <c r="N102" s="4">
        <f t="shared" si="4"/>
        <v>4.9158249158249158E-2</v>
      </c>
      <c r="O102" s="4">
        <f t="shared" si="5"/>
        <v>0.14487804878048779</v>
      </c>
    </row>
    <row r="103" spans="1:15" x14ac:dyDescent="0.3">
      <c r="A103" s="2" t="s">
        <v>179</v>
      </c>
      <c r="B103" s="2" t="s">
        <v>180</v>
      </c>
      <c r="C103" s="2" t="s">
        <v>22</v>
      </c>
      <c r="D103" s="2" t="s">
        <v>50</v>
      </c>
      <c r="E103" s="2" t="s">
        <v>46</v>
      </c>
      <c r="F103" s="2" t="s">
        <v>35</v>
      </c>
      <c r="G103" s="3">
        <v>10186</v>
      </c>
      <c r="H103" s="3">
        <v>1862</v>
      </c>
      <c r="I103" s="3">
        <v>3041</v>
      </c>
      <c r="J103" s="3">
        <v>44</v>
      </c>
      <c r="K103" s="3">
        <v>4</v>
      </c>
      <c r="L103" s="3">
        <v>15</v>
      </c>
      <c r="M103" s="3">
        <f t="shared" si="3"/>
        <v>63</v>
      </c>
      <c r="N103" s="4">
        <f t="shared" si="4"/>
        <v>3.3834586466165412E-2</v>
      </c>
      <c r="O103" s="4">
        <f t="shared" si="5"/>
        <v>0.1827999214608286</v>
      </c>
    </row>
    <row r="104" spans="1:15" x14ac:dyDescent="0.3">
      <c r="A104" s="2" t="s">
        <v>181</v>
      </c>
      <c r="B104" s="2" t="s">
        <v>182</v>
      </c>
      <c r="C104" s="2" t="s">
        <v>83</v>
      </c>
      <c r="D104" s="2" t="s">
        <v>33</v>
      </c>
      <c r="E104" s="2" t="s">
        <v>46</v>
      </c>
      <c r="F104" s="2" t="s">
        <v>67</v>
      </c>
      <c r="G104" s="3">
        <v>25574</v>
      </c>
      <c r="H104" s="3">
        <v>8266</v>
      </c>
      <c r="I104" s="3">
        <v>11269</v>
      </c>
      <c r="J104" s="3">
        <v>117</v>
      </c>
      <c r="K104" s="3">
        <v>14</v>
      </c>
      <c r="L104" s="3">
        <v>44</v>
      </c>
      <c r="M104" s="3">
        <f t="shared" si="3"/>
        <v>175</v>
      </c>
      <c r="N104" s="4">
        <f t="shared" si="4"/>
        <v>2.1171062182434069E-2</v>
      </c>
      <c r="O104" s="4">
        <f t="shared" si="5"/>
        <v>0.32321889418941113</v>
      </c>
    </row>
    <row r="105" spans="1:15" x14ac:dyDescent="0.3">
      <c r="A105" s="2" t="s">
        <v>183</v>
      </c>
      <c r="B105" s="2" t="s">
        <v>182</v>
      </c>
      <c r="C105" s="2" t="s">
        <v>43</v>
      </c>
      <c r="D105" s="2" t="s">
        <v>33</v>
      </c>
      <c r="E105" s="2" t="s">
        <v>24</v>
      </c>
      <c r="F105" s="2" t="s">
        <v>30</v>
      </c>
      <c r="G105" s="3">
        <v>26398</v>
      </c>
      <c r="H105" s="3">
        <v>5860</v>
      </c>
      <c r="I105" s="3">
        <v>9540</v>
      </c>
      <c r="J105" s="3">
        <v>46</v>
      </c>
      <c r="K105" s="3">
        <v>6</v>
      </c>
      <c r="L105" s="3">
        <v>18</v>
      </c>
      <c r="M105" s="3">
        <f t="shared" si="3"/>
        <v>70</v>
      </c>
      <c r="N105" s="4">
        <f t="shared" si="4"/>
        <v>1.1945392491467578E-2</v>
      </c>
      <c r="O105" s="4">
        <f t="shared" si="5"/>
        <v>0.22198651412985831</v>
      </c>
    </row>
    <row r="106" spans="1:15" x14ac:dyDescent="0.3">
      <c r="A106" s="2" t="s">
        <v>184</v>
      </c>
      <c r="B106" s="2" t="s">
        <v>182</v>
      </c>
      <c r="C106" s="2" t="s">
        <v>55</v>
      </c>
      <c r="D106" s="2" t="s">
        <v>18</v>
      </c>
      <c r="E106" s="2" t="s">
        <v>29</v>
      </c>
      <c r="F106" s="2" t="s">
        <v>25</v>
      </c>
      <c r="G106" s="3">
        <v>19510</v>
      </c>
      <c r="H106" s="3">
        <v>2395</v>
      </c>
      <c r="I106" s="3">
        <v>3355</v>
      </c>
      <c r="J106" s="3">
        <v>59</v>
      </c>
      <c r="K106" s="3">
        <v>7</v>
      </c>
      <c r="L106" s="3">
        <v>13</v>
      </c>
      <c r="M106" s="3">
        <f t="shared" si="3"/>
        <v>79</v>
      </c>
      <c r="N106" s="4">
        <f t="shared" si="4"/>
        <v>3.2985386221294363E-2</v>
      </c>
      <c r="O106" s="4">
        <f t="shared" si="5"/>
        <v>0.12275756022552538</v>
      </c>
    </row>
    <row r="107" spans="1:15" x14ac:dyDescent="0.3">
      <c r="A107" s="2" t="s">
        <v>185</v>
      </c>
      <c r="B107" s="2" t="s">
        <v>182</v>
      </c>
      <c r="C107" s="2" t="s">
        <v>39</v>
      </c>
      <c r="D107" s="2" t="s">
        <v>23</v>
      </c>
      <c r="E107" s="2" t="s">
        <v>24</v>
      </c>
      <c r="F107" s="2" t="s">
        <v>67</v>
      </c>
      <c r="G107" s="3">
        <v>32249</v>
      </c>
      <c r="H107" s="3">
        <v>3940</v>
      </c>
      <c r="I107" s="3">
        <v>4916</v>
      </c>
      <c r="J107" s="3">
        <v>39</v>
      </c>
      <c r="K107" s="3">
        <v>4</v>
      </c>
      <c r="L107" s="3">
        <v>15</v>
      </c>
      <c r="M107" s="3">
        <f t="shared" si="3"/>
        <v>58</v>
      </c>
      <c r="N107" s="4">
        <f t="shared" si="4"/>
        <v>1.4720812182741117E-2</v>
      </c>
      <c r="O107" s="4">
        <f t="shared" si="5"/>
        <v>0.12217433098700735</v>
      </c>
    </row>
    <row r="108" spans="1:15" x14ac:dyDescent="0.3">
      <c r="A108" s="2" t="s">
        <v>186</v>
      </c>
      <c r="B108" s="2" t="s">
        <v>182</v>
      </c>
      <c r="C108" s="2" t="s">
        <v>73</v>
      </c>
      <c r="D108" s="2" t="s">
        <v>50</v>
      </c>
      <c r="E108" s="2" t="s">
        <v>19</v>
      </c>
      <c r="F108" s="2" t="s">
        <v>41</v>
      </c>
      <c r="G108" s="3">
        <v>10413</v>
      </c>
      <c r="H108" s="3">
        <v>1800</v>
      </c>
      <c r="I108" s="3">
        <v>2683</v>
      </c>
      <c r="J108" s="3">
        <v>73</v>
      </c>
      <c r="K108" s="3">
        <v>9</v>
      </c>
      <c r="L108" s="3">
        <v>23</v>
      </c>
      <c r="M108" s="3">
        <f t="shared" si="3"/>
        <v>105</v>
      </c>
      <c r="N108" s="4">
        <f t="shared" si="4"/>
        <v>5.8333333333333334E-2</v>
      </c>
      <c r="O108" s="4">
        <f t="shared" si="5"/>
        <v>0.17286084701815038</v>
      </c>
    </row>
    <row r="109" spans="1:15" x14ac:dyDescent="0.3">
      <c r="A109" s="2" t="s">
        <v>187</v>
      </c>
      <c r="B109" s="2" t="s">
        <v>182</v>
      </c>
      <c r="C109" s="2" t="s">
        <v>83</v>
      </c>
      <c r="D109" s="2" t="s">
        <v>28</v>
      </c>
      <c r="E109" s="2" t="s">
        <v>34</v>
      </c>
      <c r="F109" s="2" t="s">
        <v>79</v>
      </c>
      <c r="G109" s="3">
        <v>44705</v>
      </c>
      <c r="H109" s="3">
        <v>27838</v>
      </c>
      <c r="I109" s="3">
        <v>44447</v>
      </c>
      <c r="J109" s="3">
        <v>627</v>
      </c>
      <c r="K109" s="3">
        <v>48</v>
      </c>
      <c r="L109" s="3">
        <v>265</v>
      </c>
      <c r="M109" s="3">
        <f t="shared" si="3"/>
        <v>940</v>
      </c>
      <c r="N109" s="4">
        <f t="shared" si="4"/>
        <v>3.3766793591493642E-2</v>
      </c>
      <c r="O109" s="4">
        <f t="shared" si="5"/>
        <v>0.62270439548148981</v>
      </c>
    </row>
    <row r="110" spans="1:15" x14ac:dyDescent="0.3">
      <c r="A110" s="2" t="s">
        <v>188</v>
      </c>
      <c r="B110" s="2" t="s">
        <v>182</v>
      </c>
      <c r="C110" s="2" t="s">
        <v>27</v>
      </c>
      <c r="D110" s="2" t="s">
        <v>28</v>
      </c>
      <c r="E110" s="2" t="s">
        <v>19</v>
      </c>
      <c r="F110" s="2" t="s">
        <v>47</v>
      </c>
      <c r="G110" s="3">
        <v>45162</v>
      </c>
      <c r="H110" s="3">
        <v>38290</v>
      </c>
      <c r="I110" s="3">
        <v>44481</v>
      </c>
      <c r="J110" s="3">
        <v>1810</v>
      </c>
      <c r="K110" s="3">
        <v>287</v>
      </c>
      <c r="L110" s="3">
        <v>541</v>
      </c>
      <c r="M110" s="3">
        <f t="shared" si="3"/>
        <v>2638</v>
      </c>
      <c r="N110" s="4">
        <f t="shared" si="4"/>
        <v>6.8895272917210759E-2</v>
      </c>
      <c r="O110" s="4">
        <f t="shared" si="5"/>
        <v>0.84783667685222086</v>
      </c>
    </row>
    <row r="111" spans="1:15" x14ac:dyDescent="0.3">
      <c r="A111" s="2" t="s">
        <v>189</v>
      </c>
      <c r="B111" s="2" t="s">
        <v>190</v>
      </c>
      <c r="C111" s="2" t="s">
        <v>83</v>
      </c>
      <c r="D111" s="2" t="s">
        <v>33</v>
      </c>
      <c r="E111" s="2" t="s">
        <v>46</v>
      </c>
      <c r="F111" s="2" t="s">
        <v>79</v>
      </c>
      <c r="G111" s="3">
        <v>25753</v>
      </c>
      <c r="H111" s="3">
        <v>10052</v>
      </c>
      <c r="I111" s="3">
        <v>11594</v>
      </c>
      <c r="J111" s="3">
        <v>191</v>
      </c>
      <c r="K111" s="3">
        <v>18</v>
      </c>
      <c r="L111" s="3">
        <v>53</v>
      </c>
      <c r="M111" s="3">
        <f t="shared" si="3"/>
        <v>262</v>
      </c>
      <c r="N111" s="4">
        <f t="shared" si="4"/>
        <v>2.6064464783127735E-2</v>
      </c>
      <c r="O111" s="4">
        <f t="shared" si="5"/>
        <v>0.39032345746126662</v>
      </c>
    </row>
    <row r="112" spans="1:15" x14ac:dyDescent="0.3">
      <c r="A112" s="2" t="s">
        <v>191</v>
      </c>
      <c r="B112" s="2" t="s">
        <v>190</v>
      </c>
      <c r="C112" s="2" t="s">
        <v>22</v>
      </c>
      <c r="D112" s="2" t="s">
        <v>18</v>
      </c>
      <c r="E112" s="2" t="s">
        <v>46</v>
      </c>
      <c r="F112" s="2" t="s">
        <v>20</v>
      </c>
      <c r="G112" s="3">
        <v>19142</v>
      </c>
      <c r="H112" s="3">
        <v>2474</v>
      </c>
      <c r="I112" s="3">
        <v>3063</v>
      </c>
      <c r="J112" s="3">
        <v>47</v>
      </c>
      <c r="K112" s="3">
        <v>7</v>
      </c>
      <c r="L112" s="3">
        <v>8</v>
      </c>
      <c r="M112" s="3">
        <f t="shared" si="3"/>
        <v>62</v>
      </c>
      <c r="N112" s="4">
        <f t="shared" si="4"/>
        <v>2.5060630557801132E-2</v>
      </c>
      <c r="O112" s="4">
        <f t="shared" si="5"/>
        <v>0.12924459304147948</v>
      </c>
    </row>
    <row r="113" spans="1:15" x14ac:dyDescent="0.3">
      <c r="A113" s="2" t="s">
        <v>192</v>
      </c>
      <c r="B113" s="2" t="s">
        <v>190</v>
      </c>
      <c r="C113" s="2" t="s">
        <v>83</v>
      </c>
      <c r="D113" s="2" t="s">
        <v>28</v>
      </c>
      <c r="E113" s="2" t="s">
        <v>24</v>
      </c>
      <c r="F113" s="2" t="s">
        <v>47</v>
      </c>
      <c r="G113" s="3">
        <v>44969</v>
      </c>
      <c r="H113" s="3">
        <v>37024</v>
      </c>
      <c r="I113" s="3">
        <v>57390</v>
      </c>
      <c r="J113" s="3">
        <v>1074</v>
      </c>
      <c r="K113" s="3">
        <v>226</v>
      </c>
      <c r="L113" s="3">
        <v>239</v>
      </c>
      <c r="M113" s="3">
        <f t="shared" si="3"/>
        <v>1539</v>
      </c>
      <c r="N113" s="4">
        <f t="shared" si="4"/>
        <v>4.1567631806395854E-2</v>
      </c>
      <c r="O113" s="4">
        <f t="shared" si="5"/>
        <v>0.82332273343859108</v>
      </c>
    </row>
    <row r="114" spans="1:15" x14ac:dyDescent="0.3">
      <c r="A114" s="2" t="s">
        <v>193</v>
      </c>
      <c r="B114" s="2" t="s">
        <v>194</v>
      </c>
      <c r="C114" s="2" t="s">
        <v>83</v>
      </c>
      <c r="D114" s="2" t="s">
        <v>33</v>
      </c>
      <c r="E114" s="2" t="s">
        <v>40</v>
      </c>
      <c r="F114" s="2" t="s">
        <v>35</v>
      </c>
      <c r="G114" s="3">
        <v>26396</v>
      </c>
      <c r="H114" s="3">
        <v>8966</v>
      </c>
      <c r="I114" s="3">
        <v>12071</v>
      </c>
      <c r="J114" s="3">
        <v>189</v>
      </c>
      <c r="K114" s="3">
        <v>14</v>
      </c>
      <c r="L114" s="3">
        <v>60</v>
      </c>
      <c r="M114" s="3">
        <f t="shared" si="3"/>
        <v>263</v>
      </c>
      <c r="N114" s="4">
        <f t="shared" si="4"/>
        <v>2.9333035913450815E-2</v>
      </c>
      <c r="O114" s="4">
        <f t="shared" si="5"/>
        <v>0.33967267767843612</v>
      </c>
    </row>
    <row r="115" spans="1:15" x14ac:dyDescent="0.3">
      <c r="A115" s="2" t="s">
        <v>195</v>
      </c>
      <c r="B115" s="2" t="s">
        <v>194</v>
      </c>
      <c r="C115" s="2" t="s">
        <v>73</v>
      </c>
      <c r="D115" s="2" t="s">
        <v>33</v>
      </c>
      <c r="E115" s="2" t="s">
        <v>29</v>
      </c>
      <c r="F115" s="2" t="s">
        <v>30</v>
      </c>
      <c r="G115" s="3">
        <v>26238</v>
      </c>
      <c r="H115" s="3">
        <v>11646</v>
      </c>
      <c r="I115" s="3">
        <v>13546</v>
      </c>
      <c r="J115" s="3">
        <v>412</v>
      </c>
      <c r="K115" s="3">
        <v>62</v>
      </c>
      <c r="L115" s="3">
        <v>109</v>
      </c>
      <c r="M115" s="3">
        <f t="shared" si="3"/>
        <v>583</v>
      </c>
      <c r="N115" s="4">
        <f t="shared" si="4"/>
        <v>5.0060106474325947E-2</v>
      </c>
      <c r="O115" s="4">
        <f t="shared" si="5"/>
        <v>0.44386005030871256</v>
      </c>
    </row>
    <row r="116" spans="1:15" x14ac:dyDescent="0.3">
      <c r="A116" s="2" t="s">
        <v>196</v>
      </c>
      <c r="B116" s="2" t="s">
        <v>194</v>
      </c>
      <c r="C116" s="2" t="s">
        <v>83</v>
      </c>
      <c r="D116" s="2" t="s">
        <v>23</v>
      </c>
      <c r="E116" s="2" t="s">
        <v>46</v>
      </c>
      <c r="F116" s="2" t="s">
        <v>25</v>
      </c>
      <c r="G116" s="3">
        <v>32773</v>
      </c>
      <c r="H116" s="3">
        <v>4804</v>
      </c>
      <c r="I116" s="3">
        <v>5791</v>
      </c>
      <c r="J116" s="3">
        <v>33</v>
      </c>
      <c r="K116" s="3">
        <v>7</v>
      </c>
      <c r="L116" s="3">
        <v>11</v>
      </c>
      <c r="M116" s="3">
        <f t="shared" si="3"/>
        <v>51</v>
      </c>
      <c r="N116" s="4">
        <f t="shared" si="4"/>
        <v>1.0616153205661949E-2</v>
      </c>
      <c r="O116" s="4">
        <f t="shared" si="5"/>
        <v>0.14658407835718426</v>
      </c>
    </row>
    <row r="117" spans="1:15" x14ac:dyDescent="0.3">
      <c r="A117" s="2" t="s">
        <v>197</v>
      </c>
      <c r="B117" s="2" t="s">
        <v>194</v>
      </c>
      <c r="C117" s="2" t="s">
        <v>43</v>
      </c>
      <c r="D117" s="2" t="s">
        <v>28</v>
      </c>
      <c r="E117" s="2" t="s">
        <v>34</v>
      </c>
      <c r="F117" s="2" t="s">
        <v>25</v>
      </c>
      <c r="G117" s="3">
        <v>45093</v>
      </c>
      <c r="H117" s="3">
        <v>40319</v>
      </c>
      <c r="I117" s="3">
        <v>59141</v>
      </c>
      <c r="J117" s="3">
        <v>1205</v>
      </c>
      <c r="K117" s="3">
        <v>242</v>
      </c>
      <c r="L117" s="3">
        <v>264</v>
      </c>
      <c r="M117" s="3">
        <f t="shared" si="3"/>
        <v>1711</v>
      </c>
      <c r="N117" s="4">
        <f t="shared" si="4"/>
        <v>4.2436568367271013E-2</v>
      </c>
      <c r="O117" s="4">
        <f t="shared" si="5"/>
        <v>0.89412990929856073</v>
      </c>
    </row>
    <row r="118" spans="1:15" x14ac:dyDescent="0.3">
      <c r="A118" s="2" t="s">
        <v>198</v>
      </c>
      <c r="B118" s="2" t="s">
        <v>199</v>
      </c>
      <c r="C118" s="2" t="s">
        <v>73</v>
      </c>
      <c r="D118" s="2" t="s">
        <v>33</v>
      </c>
      <c r="E118" s="2" t="s">
        <v>24</v>
      </c>
      <c r="F118" s="2" t="s">
        <v>67</v>
      </c>
      <c r="G118" s="3">
        <v>26434</v>
      </c>
      <c r="H118" s="3">
        <v>9378</v>
      </c>
      <c r="I118" s="3">
        <v>10748</v>
      </c>
      <c r="J118" s="3">
        <v>94</v>
      </c>
      <c r="K118" s="3">
        <v>9</v>
      </c>
      <c r="L118" s="3">
        <v>23</v>
      </c>
      <c r="M118" s="3">
        <f t="shared" si="3"/>
        <v>126</v>
      </c>
      <c r="N118" s="4">
        <f t="shared" si="4"/>
        <v>1.3435700575815739E-2</v>
      </c>
      <c r="O118" s="4">
        <f t="shared" si="5"/>
        <v>0.35477037149126123</v>
      </c>
    </row>
    <row r="119" spans="1:15" x14ac:dyDescent="0.3">
      <c r="A119" s="2" t="s">
        <v>200</v>
      </c>
      <c r="B119" s="2" t="s">
        <v>199</v>
      </c>
      <c r="C119" s="2" t="s">
        <v>49</v>
      </c>
      <c r="D119" s="2" t="s">
        <v>28</v>
      </c>
      <c r="E119" s="2" t="s">
        <v>46</v>
      </c>
      <c r="F119" s="2" t="s">
        <v>20</v>
      </c>
      <c r="G119" s="3">
        <v>45543</v>
      </c>
      <c r="H119" s="3">
        <v>20569</v>
      </c>
      <c r="I119" s="3">
        <v>32071</v>
      </c>
      <c r="J119" s="3">
        <v>369</v>
      </c>
      <c r="K119" s="3">
        <v>66</v>
      </c>
      <c r="L119" s="3">
        <v>117</v>
      </c>
      <c r="M119" s="3">
        <f t="shared" si="3"/>
        <v>552</v>
      </c>
      <c r="N119" s="4">
        <f t="shared" si="4"/>
        <v>2.6836501531430794E-2</v>
      </c>
      <c r="O119" s="4">
        <f t="shared" si="5"/>
        <v>0.45163911029137299</v>
      </c>
    </row>
    <row r="120" spans="1:15" x14ac:dyDescent="0.3">
      <c r="A120" s="2" t="s">
        <v>201</v>
      </c>
      <c r="B120" s="2" t="s">
        <v>199</v>
      </c>
      <c r="C120" s="2" t="s">
        <v>27</v>
      </c>
      <c r="D120" s="2" t="s">
        <v>28</v>
      </c>
      <c r="E120" s="2" t="s">
        <v>29</v>
      </c>
      <c r="F120" s="2" t="s">
        <v>41</v>
      </c>
      <c r="G120" s="3">
        <v>45054</v>
      </c>
      <c r="H120" s="3">
        <v>20882</v>
      </c>
      <c r="I120" s="3">
        <v>24838</v>
      </c>
      <c r="J120" s="3">
        <v>925</v>
      </c>
      <c r="K120" s="3">
        <v>174</v>
      </c>
      <c r="L120" s="3">
        <v>69</v>
      </c>
      <c r="M120" s="3">
        <f t="shared" si="3"/>
        <v>1168</v>
      </c>
      <c r="N120" s="4">
        <f t="shared" si="4"/>
        <v>5.5933339718417775E-2</v>
      </c>
      <c r="O120" s="4">
        <f t="shared" si="5"/>
        <v>0.46348825853420339</v>
      </c>
    </row>
    <row r="121" spans="1:15" x14ac:dyDescent="0.3">
      <c r="A121" s="2" t="s">
        <v>202</v>
      </c>
      <c r="B121" s="2" t="s">
        <v>203</v>
      </c>
      <c r="C121" s="2" t="s">
        <v>22</v>
      </c>
      <c r="D121" s="2" t="s">
        <v>33</v>
      </c>
      <c r="E121" s="2" t="s">
        <v>24</v>
      </c>
      <c r="F121" s="2" t="s">
        <v>79</v>
      </c>
      <c r="G121" s="3">
        <v>25671</v>
      </c>
      <c r="H121" s="3">
        <v>6761</v>
      </c>
      <c r="I121" s="3">
        <v>11938</v>
      </c>
      <c r="J121" s="3">
        <v>116</v>
      </c>
      <c r="K121" s="3">
        <v>25</v>
      </c>
      <c r="L121" s="3">
        <v>31</v>
      </c>
      <c r="M121" s="3">
        <f t="shared" si="3"/>
        <v>172</v>
      </c>
      <c r="N121" s="4">
        <f t="shared" si="4"/>
        <v>2.5440023665138294E-2</v>
      </c>
      <c r="O121" s="4">
        <f t="shared" si="5"/>
        <v>0.26337111916169997</v>
      </c>
    </row>
    <row r="122" spans="1:15" x14ac:dyDescent="0.3">
      <c r="A122" s="2" t="s">
        <v>204</v>
      </c>
      <c r="B122" s="2" t="s">
        <v>203</v>
      </c>
      <c r="C122" s="2" t="s">
        <v>45</v>
      </c>
      <c r="D122" s="2" t="s">
        <v>18</v>
      </c>
      <c r="E122" s="2" t="s">
        <v>34</v>
      </c>
      <c r="F122" s="2" t="s">
        <v>67</v>
      </c>
      <c r="G122" s="3">
        <v>19570</v>
      </c>
      <c r="H122" s="3">
        <v>5387</v>
      </c>
      <c r="I122" s="3">
        <v>8256</v>
      </c>
      <c r="J122" s="3">
        <v>164</v>
      </c>
      <c r="K122" s="3">
        <v>28</v>
      </c>
      <c r="L122" s="3">
        <v>51</v>
      </c>
      <c r="M122" s="3">
        <f t="shared" si="3"/>
        <v>243</v>
      </c>
      <c r="N122" s="4">
        <f t="shared" si="4"/>
        <v>4.5108594765175425E-2</v>
      </c>
      <c r="O122" s="4">
        <f t="shared" si="5"/>
        <v>0.27526826775677055</v>
      </c>
    </row>
    <row r="123" spans="1:15" x14ac:dyDescent="0.3">
      <c r="A123" s="2" t="s">
        <v>205</v>
      </c>
      <c r="B123" s="2" t="s">
        <v>203</v>
      </c>
      <c r="C123" s="2" t="s">
        <v>52</v>
      </c>
      <c r="D123" s="2" t="s">
        <v>50</v>
      </c>
      <c r="E123" s="2" t="s">
        <v>40</v>
      </c>
      <c r="F123" s="2" t="s">
        <v>79</v>
      </c>
      <c r="G123" s="3">
        <v>10544</v>
      </c>
      <c r="H123" s="3">
        <v>1841</v>
      </c>
      <c r="I123" s="3">
        <v>2597</v>
      </c>
      <c r="J123" s="3">
        <v>70</v>
      </c>
      <c r="K123" s="3">
        <v>10</v>
      </c>
      <c r="L123" s="3">
        <v>18</v>
      </c>
      <c r="M123" s="3">
        <f t="shared" si="3"/>
        <v>98</v>
      </c>
      <c r="N123" s="4">
        <f t="shared" si="4"/>
        <v>5.3231939163498096E-2</v>
      </c>
      <c r="O123" s="4">
        <f t="shared" si="5"/>
        <v>0.17460166919575112</v>
      </c>
    </row>
    <row r="124" spans="1:15" x14ac:dyDescent="0.3">
      <c r="A124" s="2" t="s">
        <v>206</v>
      </c>
      <c r="B124" s="2" t="s">
        <v>207</v>
      </c>
      <c r="C124" s="2" t="s">
        <v>22</v>
      </c>
      <c r="D124" s="2" t="s">
        <v>23</v>
      </c>
      <c r="E124" s="2" t="s">
        <v>24</v>
      </c>
      <c r="F124" s="2" t="s">
        <v>47</v>
      </c>
      <c r="G124" s="3">
        <v>33125</v>
      </c>
      <c r="H124" s="3">
        <v>3956</v>
      </c>
      <c r="I124" s="3">
        <v>5409</v>
      </c>
      <c r="J124" s="3">
        <v>102</v>
      </c>
      <c r="K124" s="3">
        <v>17</v>
      </c>
      <c r="L124" s="3">
        <v>14</v>
      </c>
      <c r="M124" s="3">
        <f t="shared" si="3"/>
        <v>133</v>
      </c>
      <c r="N124" s="4">
        <f t="shared" si="4"/>
        <v>3.3619817997977752E-2</v>
      </c>
      <c r="O124" s="4">
        <f t="shared" si="5"/>
        <v>0.11942641509433963</v>
      </c>
    </row>
    <row r="125" spans="1:15" x14ac:dyDescent="0.3">
      <c r="A125" s="2" t="s">
        <v>208</v>
      </c>
      <c r="B125" s="2" t="s">
        <v>207</v>
      </c>
      <c r="C125" s="2" t="s">
        <v>43</v>
      </c>
      <c r="D125" s="2" t="s">
        <v>28</v>
      </c>
      <c r="E125" s="2" t="s">
        <v>29</v>
      </c>
      <c r="F125" s="2" t="s">
        <v>30</v>
      </c>
      <c r="G125" s="3">
        <v>45328</v>
      </c>
      <c r="H125" s="3">
        <v>26532</v>
      </c>
      <c r="I125" s="3">
        <v>31500</v>
      </c>
      <c r="J125" s="3">
        <v>463</v>
      </c>
      <c r="K125" s="3">
        <v>65</v>
      </c>
      <c r="L125" s="3">
        <v>118</v>
      </c>
      <c r="M125" s="3">
        <f t="shared" si="3"/>
        <v>646</v>
      </c>
      <c r="N125" s="4">
        <f t="shared" si="4"/>
        <v>2.4347957183778079E-2</v>
      </c>
      <c r="O125" s="4">
        <f t="shared" si="5"/>
        <v>0.58533356865513586</v>
      </c>
    </row>
    <row r="126" spans="1:15" x14ac:dyDescent="0.3">
      <c r="A126" s="2" t="s">
        <v>209</v>
      </c>
      <c r="B126" s="2" t="s">
        <v>210</v>
      </c>
      <c r="C126" s="2" t="s">
        <v>17</v>
      </c>
      <c r="D126" s="2" t="s">
        <v>33</v>
      </c>
      <c r="E126" s="2" t="s">
        <v>40</v>
      </c>
      <c r="F126" s="2" t="s">
        <v>79</v>
      </c>
      <c r="G126" s="3">
        <v>26716</v>
      </c>
      <c r="H126" s="3">
        <v>7801</v>
      </c>
      <c r="I126" s="3">
        <v>10746</v>
      </c>
      <c r="J126" s="3">
        <v>281</v>
      </c>
      <c r="K126" s="3">
        <v>23</v>
      </c>
      <c r="L126" s="3">
        <v>93</v>
      </c>
      <c r="M126" s="3">
        <f t="shared" si="3"/>
        <v>397</v>
      </c>
      <c r="N126" s="4">
        <f t="shared" si="4"/>
        <v>5.0890911421612617E-2</v>
      </c>
      <c r="O126" s="4">
        <f t="shared" si="5"/>
        <v>0.29199730498577631</v>
      </c>
    </row>
    <row r="127" spans="1:15" x14ac:dyDescent="0.3">
      <c r="A127" s="2" t="s">
        <v>211</v>
      </c>
      <c r="B127" s="2" t="s">
        <v>210</v>
      </c>
      <c r="C127" s="2" t="s">
        <v>73</v>
      </c>
      <c r="D127" s="2" t="s">
        <v>18</v>
      </c>
      <c r="E127" s="2" t="s">
        <v>46</v>
      </c>
      <c r="F127" s="2" t="s">
        <v>79</v>
      </c>
      <c r="G127" s="3">
        <v>19737</v>
      </c>
      <c r="H127" s="3">
        <v>2516</v>
      </c>
      <c r="I127" s="3">
        <v>3272</v>
      </c>
      <c r="J127" s="3">
        <v>59</v>
      </c>
      <c r="K127" s="3">
        <v>5</v>
      </c>
      <c r="L127" s="3">
        <v>15</v>
      </c>
      <c r="M127" s="3">
        <f t="shared" si="3"/>
        <v>79</v>
      </c>
      <c r="N127" s="4">
        <f t="shared" si="4"/>
        <v>3.1399046104928455E-2</v>
      </c>
      <c r="O127" s="4">
        <f t="shared" si="5"/>
        <v>0.12747631352282515</v>
      </c>
    </row>
    <row r="128" spans="1:15" x14ac:dyDescent="0.3">
      <c r="A128" s="2" t="s">
        <v>212</v>
      </c>
      <c r="B128" s="2" t="s">
        <v>210</v>
      </c>
      <c r="C128" s="2" t="s">
        <v>52</v>
      </c>
      <c r="D128" s="2" t="s">
        <v>23</v>
      </c>
      <c r="E128" s="2" t="s">
        <v>34</v>
      </c>
      <c r="F128" s="2" t="s">
        <v>67</v>
      </c>
      <c r="G128" s="3">
        <v>32907</v>
      </c>
      <c r="H128" s="3">
        <v>6479</v>
      </c>
      <c r="I128" s="3">
        <v>9615</v>
      </c>
      <c r="J128" s="3">
        <v>225</v>
      </c>
      <c r="K128" s="3">
        <v>18</v>
      </c>
      <c r="L128" s="3">
        <v>66</v>
      </c>
      <c r="M128" s="3">
        <f t="shared" si="3"/>
        <v>309</v>
      </c>
      <c r="N128" s="4">
        <f t="shared" si="4"/>
        <v>4.7692545145855844E-2</v>
      </c>
      <c r="O128" s="4">
        <f t="shared" si="5"/>
        <v>0.19688820007901053</v>
      </c>
    </row>
    <row r="129" spans="1:15" x14ac:dyDescent="0.3">
      <c r="A129" s="2" t="s">
        <v>213</v>
      </c>
      <c r="B129" s="2" t="s">
        <v>210</v>
      </c>
      <c r="C129" s="2" t="s">
        <v>55</v>
      </c>
      <c r="D129" s="2" t="s">
        <v>50</v>
      </c>
      <c r="E129" s="2" t="s">
        <v>19</v>
      </c>
      <c r="F129" s="2" t="s">
        <v>41</v>
      </c>
      <c r="G129" s="3">
        <v>10563</v>
      </c>
      <c r="H129" s="3">
        <v>2780</v>
      </c>
      <c r="I129" s="3">
        <v>3180</v>
      </c>
      <c r="J129" s="3">
        <v>137</v>
      </c>
      <c r="K129" s="3">
        <v>19</v>
      </c>
      <c r="L129" s="3">
        <v>34</v>
      </c>
      <c r="M129" s="3">
        <f t="shared" si="3"/>
        <v>190</v>
      </c>
      <c r="N129" s="4">
        <f t="shared" si="4"/>
        <v>6.83453237410072E-2</v>
      </c>
      <c r="O129" s="4">
        <f t="shared" si="5"/>
        <v>0.26318280791441823</v>
      </c>
    </row>
    <row r="130" spans="1:15" x14ac:dyDescent="0.3">
      <c r="A130" s="2" t="s">
        <v>214</v>
      </c>
      <c r="B130" s="2" t="s">
        <v>210</v>
      </c>
      <c r="C130" s="2" t="s">
        <v>55</v>
      </c>
      <c r="D130" s="2" t="s">
        <v>50</v>
      </c>
      <c r="E130" s="2" t="s">
        <v>24</v>
      </c>
      <c r="F130" s="2" t="s">
        <v>25</v>
      </c>
      <c r="G130" s="3">
        <v>10597</v>
      </c>
      <c r="H130" s="3">
        <v>1981</v>
      </c>
      <c r="I130" s="3">
        <v>2181</v>
      </c>
      <c r="J130" s="3">
        <v>30</v>
      </c>
      <c r="K130" s="3">
        <v>2</v>
      </c>
      <c r="L130" s="3">
        <v>10</v>
      </c>
      <c r="M130" s="3">
        <f t="shared" ref="M130:M193" si="6">SUM(J130:L130)</f>
        <v>42</v>
      </c>
      <c r="N130" s="4">
        <f t="shared" ref="N130:N193" si="7">IFERROR(M130/H130,0)</f>
        <v>2.1201413427561839E-2</v>
      </c>
      <c r="O130" s="4">
        <f t="shared" ref="O130:O193" si="8">IFERROR(H130/G130,0)</f>
        <v>0.18693969991507031</v>
      </c>
    </row>
    <row r="131" spans="1:15" x14ac:dyDescent="0.3">
      <c r="A131" s="2" t="s">
        <v>215</v>
      </c>
      <c r="B131" s="2" t="s">
        <v>210</v>
      </c>
      <c r="C131" s="2" t="s">
        <v>49</v>
      </c>
      <c r="D131" s="2" t="s">
        <v>28</v>
      </c>
      <c r="E131" s="2" t="s">
        <v>34</v>
      </c>
      <c r="F131" s="2" t="s">
        <v>67</v>
      </c>
      <c r="G131" s="3">
        <v>44826</v>
      </c>
      <c r="H131" s="3">
        <v>24904</v>
      </c>
      <c r="I131" s="3">
        <v>38475</v>
      </c>
      <c r="J131" s="3">
        <v>1012</v>
      </c>
      <c r="K131" s="3">
        <v>75</v>
      </c>
      <c r="L131" s="3">
        <v>385</v>
      </c>
      <c r="M131" s="3">
        <f t="shared" si="6"/>
        <v>1472</v>
      </c>
      <c r="N131" s="4">
        <f t="shared" si="7"/>
        <v>5.9106970767748152E-2</v>
      </c>
      <c r="O131" s="4">
        <f t="shared" si="8"/>
        <v>0.55557042787667876</v>
      </c>
    </row>
    <row r="132" spans="1:15" x14ac:dyDescent="0.3">
      <c r="A132" s="2" t="s">
        <v>216</v>
      </c>
      <c r="B132" s="2" t="s">
        <v>217</v>
      </c>
      <c r="C132" s="2" t="s">
        <v>22</v>
      </c>
      <c r="D132" s="2" t="s">
        <v>33</v>
      </c>
      <c r="E132" s="2" t="s">
        <v>46</v>
      </c>
      <c r="F132" s="2" t="s">
        <v>30</v>
      </c>
      <c r="G132" s="3">
        <v>26593</v>
      </c>
      <c r="H132" s="3">
        <v>10065</v>
      </c>
      <c r="I132" s="3">
        <v>13414</v>
      </c>
      <c r="J132" s="3">
        <v>74</v>
      </c>
      <c r="K132" s="3">
        <v>13</v>
      </c>
      <c r="L132" s="3">
        <v>15</v>
      </c>
      <c r="M132" s="3">
        <f t="shared" si="6"/>
        <v>102</v>
      </c>
      <c r="N132" s="4">
        <f t="shared" si="7"/>
        <v>1.0134128166915052E-2</v>
      </c>
      <c r="O132" s="4">
        <f t="shared" si="8"/>
        <v>0.37848305945173544</v>
      </c>
    </row>
    <row r="133" spans="1:15" x14ac:dyDescent="0.3">
      <c r="A133" s="2" t="s">
        <v>218</v>
      </c>
      <c r="B133" s="2" t="s">
        <v>217</v>
      </c>
      <c r="C133" s="2" t="s">
        <v>83</v>
      </c>
      <c r="D133" s="2" t="s">
        <v>28</v>
      </c>
      <c r="E133" s="2" t="s">
        <v>19</v>
      </c>
      <c r="F133" s="2" t="s">
        <v>30</v>
      </c>
      <c r="G133" s="3">
        <v>45489</v>
      </c>
      <c r="H133" s="3">
        <v>39272</v>
      </c>
      <c r="I133" s="3">
        <v>44215</v>
      </c>
      <c r="J133" s="3">
        <v>943</v>
      </c>
      <c r="K133" s="3">
        <v>170</v>
      </c>
      <c r="L133" s="3">
        <v>115</v>
      </c>
      <c r="M133" s="3">
        <f t="shared" si="6"/>
        <v>1228</v>
      </c>
      <c r="N133" s="4">
        <f t="shared" si="7"/>
        <v>3.1269097575881033E-2</v>
      </c>
      <c r="O133" s="4">
        <f t="shared" si="8"/>
        <v>0.86332959616610605</v>
      </c>
    </row>
    <row r="134" spans="1:15" x14ac:dyDescent="0.3">
      <c r="A134" s="2" t="s">
        <v>219</v>
      </c>
      <c r="B134" s="2" t="s">
        <v>220</v>
      </c>
      <c r="C134" s="2" t="s">
        <v>83</v>
      </c>
      <c r="D134" s="2" t="s">
        <v>18</v>
      </c>
      <c r="E134" s="2" t="s">
        <v>24</v>
      </c>
      <c r="F134" s="2" t="s">
        <v>47</v>
      </c>
      <c r="G134" s="3">
        <v>19382</v>
      </c>
      <c r="H134" s="3">
        <v>4858</v>
      </c>
      <c r="I134" s="3">
        <v>5993</v>
      </c>
      <c r="J134" s="3">
        <v>80</v>
      </c>
      <c r="K134" s="3">
        <v>14</v>
      </c>
      <c r="L134" s="3">
        <v>11</v>
      </c>
      <c r="M134" s="3">
        <f t="shared" si="6"/>
        <v>105</v>
      </c>
      <c r="N134" s="4">
        <f t="shared" si="7"/>
        <v>2.1613832853025938E-2</v>
      </c>
      <c r="O134" s="4">
        <f t="shared" si="8"/>
        <v>0.25064492828397483</v>
      </c>
    </row>
    <row r="135" spans="1:15" x14ac:dyDescent="0.3">
      <c r="A135" s="2" t="s">
        <v>221</v>
      </c>
      <c r="B135" s="2" t="s">
        <v>220</v>
      </c>
      <c r="C135" s="2" t="s">
        <v>27</v>
      </c>
      <c r="D135" s="2" t="s">
        <v>23</v>
      </c>
      <c r="E135" s="2" t="s">
        <v>40</v>
      </c>
      <c r="F135" s="2" t="s">
        <v>41</v>
      </c>
      <c r="G135" s="3">
        <v>33668</v>
      </c>
      <c r="H135" s="3">
        <v>6910</v>
      </c>
      <c r="I135" s="3">
        <v>9471</v>
      </c>
      <c r="J135" s="3">
        <v>470</v>
      </c>
      <c r="K135" s="3">
        <v>64</v>
      </c>
      <c r="L135" s="3">
        <v>116</v>
      </c>
      <c r="M135" s="3">
        <f t="shared" si="6"/>
        <v>650</v>
      </c>
      <c r="N135" s="4">
        <f t="shared" si="7"/>
        <v>9.4066570188133136E-2</v>
      </c>
      <c r="O135" s="4">
        <f t="shared" si="8"/>
        <v>0.20523939645954617</v>
      </c>
    </row>
    <row r="136" spans="1:15" x14ac:dyDescent="0.3">
      <c r="A136" s="2" t="s">
        <v>222</v>
      </c>
      <c r="B136" s="2" t="s">
        <v>220</v>
      </c>
      <c r="C136" s="2" t="s">
        <v>52</v>
      </c>
      <c r="D136" s="2" t="s">
        <v>50</v>
      </c>
      <c r="E136" s="2" t="s">
        <v>40</v>
      </c>
      <c r="F136" s="2" t="s">
        <v>30</v>
      </c>
      <c r="G136" s="3">
        <v>10511</v>
      </c>
      <c r="H136" s="3">
        <v>3666</v>
      </c>
      <c r="I136" s="3">
        <v>4495</v>
      </c>
      <c r="J136" s="3">
        <v>109</v>
      </c>
      <c r="K136" s="3">
        <v>13</v>
      </c>
      <c r="L136" s="3">
        <v>43</v>
      </c>
      <c r="M136" s="3">
        <f t="shared" si="6"/>
        <v>165</v>
      </c>
      <c r="N136" s="4">
        <f t="shared" si="7"/>
        <v>4.5008183306055646E-2</v>
      </c>
      <c r="O136" s="4">
        <f t="shared" si="8"/>
        <v>0.34877747122062602</v>
      </c>
    </row>
    <row r="137" spans="1:15" x14ac:dyDescent="0.3">
      <c r="A137" s="2" t="s">
        <v>223</v>
      </c>
      <c r="B137" s="2" t="s">
        <v>220</v>
      </c>
      <c r="C137" s="2" t="s">
        <v>83</v>
      </c>
      <c r="D137" s="2" t="s">
        <v>50</v>
      </c>
      <c r="E137" s="2" t="s">
        <v>29</v>
      </c>
      <c r="F137" s="2" t="s">
        <v>47</v>
      </c>
      <c r="G137" s="3">
        <v>10584</v>
      </c>
      <c r="H137" s="3">
        <v>2307</v>
      </c>
      <c r="I137" s="3">
        <v>3651</v>
      </c>
      <c r="J137" s="3">
        <v>55</v>
      </c>
      <c r="K137" s="3">
        <v>11</v>
      </c>
      <c r="L137" s="3">
        <v>19</v>
      </c>
      <c r="M137" s="3">
        <f t="shared" si="6"/>
        <v>85</v>
      </c>
      <c r="N137" s="4">
        <f t="shared" si="7"/>
        <v>3.6844386649328133E-2</v>
      </c>
      <c r="O137" s="4">
        <f t="shared" si="8"/>
        <v>0.21797052154195012</v>
      </c>
    </row>
    <row r="138" spans="1:15" x14ac:dyDescent="0.3">
      <c r="A138" s="2" t="s">
        <v>224</v>
      </c>
      <c r="B138" s="2" t="s">
        <v>225</v>
      </c>
      <c r="C138" s="2" t="s">
        <v>45</v>
      </c>
      <c r="D138" s="2" t="s">
        <v>33</v>
      </c>
      <c r="E138" s="2" t="s">
        <v>34</v>
      </c>
      <c r="F138" s="2" t="s">
        <v>30</v>
      </c>
      <c r="G138" s="3">
        <v>26577</v>
      </c>
      <c r="H138" s="3">
        <v>7698</v>
      </c>
      <c r="I138" s="3">
        <v>11232</v>
      </c>
      <c r="J138" s="3">
        <v>252</v>
      </c>
      <c r="K138" s="3">
        <v>19</v>
      </c>
      <c r="L138" s="3">
        <v>104</v>
      </c>
      <c r="M138" s="3">
        <f t="shared" si="6"/>
        <v>375</v>
      </c>
      <c r="N138" s="4">
        <f t="shared" si="7"/>
        <v>4.8713951675759939E-2</v>
      </c>
      <c r="O138" s="4">
        <f t="shared" si="8"/>
        <v>0.28964894457613727</v>
      </c>
    </row>
    <row r="139" spans="1:15" x14ac:dyDescent="0.3">
      <c r="A139" s="2" t="s">
        <v>226</v>
      </c>
      <c r="B139" s="2" t="s">
        <v>225</v>
      </c>
      <c r="C139" s="2" t="s">
        <v>64</v>
      </c>
      <c r="D139" s="2" t="s">
        <v>23</v>
      </c>
      <c r="E139" s="2" t="s">
        <v>19</v>
      </c>
      <c r="F139" s="2" t="s">
        <v>79</v>
      </c>
      <c r="G139" s="3">
        <v>33215</v>
      </c>
      <c r="H139" s="3">
        <v>7072</v>
      </c>
      <c r="I139" s="3">
        <v>7939</v>
      </c>
      <c r="J139" s="3">
        <v>144</v>
      </c>
      <c r="K139" s="3">
        <v>17</v>
      </c>
      <c r="L139" s="3">
        <v>40</v>
      </c>
      <c r="M139" s="3">
        <f t="shared" si="6"/>
        <v>201</v>
      </c>
      <c r="N139" s="4">
        <f t="shared" si="7"/>
        <v>2.8421945701357466E-2</v>
      </c>
      <c r="O139" s="4">
        <f t="shared" si="8"/>
        <v>0.21291585127201565</v>
      </c>
    </row>
    <row r="140" spans="1:15" x14ac:dyDescent="0.3">
      <c r="A140" s="2" t="s">
        <v>227</v>
      </c>
      <c r="B140" s="2" t="s">
        <v>225</v>
      </c>
      <c r="C140" s="2" t="s">
        <v>64</v>
      </c>
      <c r="D140" s="2" t="s">
        <v>23</v>
      </c>
      <c r="E140" s="2" t="s">
        <v>34</v>
      </c>
      <c r="F140" s="2" t="s">
        <v>20</v>
      </c>
      <c r="G140" s="3">
        <v>33438</v>
      </c>
      <c r="H140" s="3">
        <v>4538</v>
      </c>
      <c r="I140" s="3">
        <v>7055</v>
      </c>
      <c r="J140" s="3">
        <v>79</v>
      </c>
      <c r="K140" s="3">
        <v>14</v>
      </c>
      <c r="L140" s="3">
        <v>26</v>
      </c>
      <c r="M140" s="3">
        <f t="shared" si="6"/>
        <v>119</v>
      </c>
      <c r="N140" s="4">
        <f t="shared" si="7"/>
        <v>2.6223005729396211E-2</v>
      </c>
      <c r="O140" s="4">
        <f t="shared" si="8"/>
        <v>0.1357138584843591</v>
      </c>
    </row>
    <row r="141" spans="1:15" x14ac:dyDescent="0.3">
      <c r="A141" s="2" t="s">
        <v>228</v>
      </c>
      <c r="B141" s="2" t="s">
        <v>225</v>
      </c>
      <c r="C141" s="2" t="s">
        <v>17</v>
      </c>
      <c r="D141" s="2" t="s">
        <v>50</v>
      </c>
      <c r="E141" s="2" t="s">
        <v>34</v>
      </c>
      <c r="F141" s="2" t="s">
        <v>35</v>
      </c>
      <c r="G141" s="3">
        <v>10674</v>
      </c>
      <c r="H141" s="3">
        <v>3009</v>
      </c>
      <c r="I141" s="3">
        <v>3761</v>
      </c>
      <c r="J141" s="3">
        <v>95</v>
      </c>
      <c r="K141" s="3">
        <v>19</v>
      </c>
      <c r="L141" s="3">
        <v>13</v>
      </c>
      <c r="M141" s="3">
        <f t="shared" si="6"/>
        <v>127</v>
      </c>
      <c r="N141" s="4">
        <f t="shared" si="7"/>
        <v>4.2206713193752077E-2</v>
      </c>
      <c r="O141" s="4">
        <f t="shared" si="8"/>
        <v>0.2818999437886453</v>
      </c>
    </row>
    <row r="142" spans="1:15" x14ac:dyDescent="0.3">
      <c r="A142" s="2" t="s">
        <v>229</v>
      </c>
      <c r="B142" s="2" t="s">
        <v>225</v>
      </c>
      <c r="C142" s="2" t="s">
        <v>83</v>
      </c>
      <c r="D142" s="2" t="s">
        <v>28</v>
      </c>
      <c r="E142" s="2" t="s">
        <v>40</v>
      </c>
      <c r="F142" s="2" t="s">
        <v>20</v>
      </c>
      <c r="G142" s="3">
        <v>45972</v>
      </c>
      <c r="H142" s="3">
        <v>24793</v>
      </c>
      <c r="I142" s="3">
        <v>28795</v>
      </c>
      <c r="J142" s="3">
        <v>1407</v>
      </c>
      <c r="K142" s="3">
        <v>148</v>
      </c>
      <c r="L142" s="3">
        <v>257</v>
      </c>
      <c r="M142" s="3">
        <f t="shared" si="6"/>
        <v>1812</v>
      </c>
      <c r="N142" s="4">
        <f t="shared" si="7"/>
        <v>7.3085145000605006E-2</v>
      </c>
      <c r="O142" s="4">
        <f t="shared" si="8"/>
        <v>0.53930653441225096</v>
      </c>
    </row>
    <row r="143" spans="1:15" x14ac:dyDescent="0.3">
      <c r="A143" s="2" t="s">
        <v>230</v>
      </c>
      <c r="B143" s="2" t="s">
        <v>231</v>
      </c>
      <c r="C143" s="2" t="s">
        <v>17</v>
      </c>
      <c r="D143" s="2" t="s">
        <v>18</v>
      </c>
      <c r="E143" s="2" t="s">
        <v>29</v>
      </c>
      <c r="F143" s="2" t="s">
        <v>20</v>
      </c>
      <c r="G143" s="3">
        <v>19807</v>
      </c>
      <c r="H143" s="3">
        <v>5654</v>
      </c>
      <c r="I143" s="3">
        <v>8743</v>
      </c>
      <c r="J143" s="3">
        <v>249</v>
      </c>
      <c r="K143" s="3">
        <v>21</v>
      </c>
      <c r="L143" s="3">
        <v>74</v>
      </c>
      <c r="M143" s="3">
        <f t="shared" si="6"/>
        <v>344</v>
      </c>
      <c r="N143" s="4">
        <f t="shared" si="7"/>
        <v>6.0841881853555005E-2</v>
      </c>
      <c r="O143" s="4">
        <f t="shared" si="8"/>
        <v>0.28545463724945724</v>
      </c>
    </row>
    <row r="144" spans="1:15" x14ac:dyDescent="0.3">
      <c r="A144" s="2" t="s">
        <v>232</v>
      </c>
      <c r="B144" s="2" t="s">
        <v>231</v>
      </c>
      <c r="C144" s="2" t="s">
        <v>73</v>
      </c>
      <c r="D144" s="2" t="s">
        <v>50</v>
      </c>
      <c r="E144" s="2" t="s">
        <v>29</v>
      </c>
      <c r="F144" s="2" t="s">
        <v>79</v>
      </c>
      <c r="G144" s="3">
        <v>10562</v>
      </c>
      <c r="H144" s="3">
        <v>3655</v>
      </c>
      <c r="I144" s="3">
        <v>4352</v>
      </c>
      <c r="J144" s="3">
        <v>158</v>
      </c>
      <c r="K144" s="3">
        <v>21</v>
      </c>
      <c r="L144" s="3">
        <v>61</v>
      </c>
      <c r="M144" s="3">
        <f t="shared" si="6"/>
        <v>240</v>
      </c>
      <c r="N144" s="4">
        <f t="shared" si="7"/>
        <v>6.5663474692202461E-2</v>
      </c>
      <c r="O144" s="4">
        <f t="shared" si="8"/>
        <v>0.34605188411285742</v>
      </c>
    </row>
    <row r="145" spans="1:15" x14ac:dyDescent="0.3">
      <c r="A145" s="2" t="s">
        <v>233</v>
      </c>
      <c r="B145" s="2" t="s">
        <v>234</v>
      </c>
      <c r="C145" s="2" t="s">
        <v>27</v>
      </c>
      <c r="D145" s="2" t="s">
        <v>33</v>
      </c>
      <c r="E145" s="2" t="s">
        <v>24</v>
      </c>
      <c r="F145" s="2" t="s">
        <v>30</v>
      </c>
      <c r="G145" s="3">
        <v>26087</v>
      </c>
      <c r="H145" s="3">
        <v>6928</v>
      </c>
      <c r="I145" s="3">
        <v>7980</v>
      </c>
      <c r="J145" s="3">
        <v>134</v>
      </c>
      <c r="K145" s="3">
        <v>26</v>
      </c>
      <c r="L145" s="3">
        <v>41</v>
      </c>
      <c r="M145" s="3">
        <f t="shared" si="6"/>
        <v>201</v>
      </c>
      <c r="N145" s="4">
        <f t="shared" si="7"/>
        <v>2.901270207852194E-2</v>
      </c>
      <c r="O145" s="4">
        <f t="shared" si="8"/>
        <v>0.26557289071184881</v>
      </c>
    </row>
    <row r="146" spans="1:15" x14ac:dyDescent="0.3">
      <c r="A146" s="2" t="s">
        <v>235</v>
      </c>
      <c r="B146" s="2" t="s">
        <v>234</v>
      </c>
      <c r="C146" s="2" t="s">
        <v>27</v>
      </c>
      <c r="D146" s="2" t="s">
        <v>23</v>
      </c>
      <c r="E146" s="2" t="s">
        <v>40</v>
      </c>
      <c r="F146" s="2" t="s">
        <v>67</v>
      </c>
      <c r="G146" s="3">
        <v>33955</v>
      </c>
      <c r="H146" s="3">
        <v>5179</v>
      </c>
      <c r="I146" s="3">
        <v>6799</v>
      </c>
      <c r="J146" s="3">
        <v>155</v>
      </c>
      <c r="K146" s="3">
        <v>33</v>
      </c>
      <c r="L146" s="3">
        <v>40</v>
      </c>
      <c r="M146" s="3">
        <f t="shared" si="6"/>
        <v>228</v>
      </c>
      <c r="N146" s="4">
        <f t="shared" si="7"/>
        <v>4.402394284610929E-2</v>
      </c>
      <c r="O146" s="4">
        <f t="shared" si="8"/>
        <v>0.15252540126638198</v>
      </c>
    </row>
    <row r="147" spans="1:15" x14ac:dyDescent="0.3">
      <c r="A147" s="2" t="s">
        <v>236</v>
      </c>
      <c r="B147" s="2" t="s">
        <v>237</v>
      </c>
      <c r="C147" s="2" t="s">
        <v>55</v>
      </c>
      <c r="D147" s="2" t="s">
        <v>33</v>
      </c>
      <c r="E147" s="2" t="s">
        <v>24</v>
      </c>
      <c r="F147" s="2" t="s">
        <v>35</v>
      </c>
      <c r="G147" s="3">
        <v>26130</v>
      </c>
      <c r="H147" s="3">
        <v>6839</v>
      </c>
      <c r="I147" s="3">
        <v>10076</v>
      </c>
      <c r="J147" s="3">
        <v>154</v>
      </c>
      <c r="K147" s="3">
        <v>12</v>
      </c>
      <c r="L147" s="3">
        <v>29</v>
      </c>
      <c r="M147" s="3">
        <f t="shared" si="6"/>
        <v>195</v>
      </c>
      <c r="N147" s="4">
        <f t="shared" si="7"/>
        <v>2.8512940488375493E-2</v>
      </c>
      <c r="O147" s="4">
        <f t="shared" si="8"/>
        <v>0.26172981247608113</v>
      </c>
    </row>
    <row r="148" spans="1:15" x14ac:dyDescent="0.3">
      <c r="A148" s="2" t="s">
        <v>238</v>
      </c>
      <c r="B148" s="2" t="s">
        <v>237</v>
      </c>
      <c r="C148" s="2" t="s">
        <v>39</v>
      </c>
      <c r="D148" s="2" t="s">
        <v>50</v>
      </c>
      <c r="E148" s="2" t="s">
        <v>34</v>
      </c>
      <c r="F148" s="2" t="s">
        <v>67</v>
      </c>
      <c r="G148" s="3">
        <v>10433</v>
      </c>
      <c r="H148" s="3">
        <v>3528</v>
      </c>
      <c r="I148" s="3">
        <v>5784</v>
      </c>
      <c r="J148" s="3">
        <v>75</v>
      </c>
      <c r="K148" s="3">
        <v>11</v>
      </c>
      <c r="L148" s="3">
        <v>17</v>
      </c>
      <c r="M148" s="3">
        <f t="shared" si="6"/>
        <v>103</v>
      </c>
      <c r="N148" s="4">
        <f t="shared" si="7"/>
        <v>2.919501133786848E-2</v>
      </c>
      <c r="O148" s="4">
        <f t="shared" si="8"/>
        <v>0.3381577686188057</v>
      </c>
    </row>
    <row r="149" spans="1:15" x14ac:dyDescent="0.3">
      <c r="A149" s="2" t="s">
        <v>239</v>
      </c>
      <c r="B149" s="2" t="s">
        <v>237</v>
      </c>
      <c r="C149" s="2" t="s">
        <v>64</v>
      </c>
      <c r="D149" s="2" t="s">
        <v>28</v>
      </c>
      <c r="E149" s="2" t="s">
        <v>29</v>
      </c>
      <c r="F149" s="2" t="s">
        <v>35</v>
      </c>
      <c r="G149" s="3">
        <v>45446</v>
      </c>
      <c r="H149" s="3">
        <v>35131</v>
      </c>
      <c r="I149" s="3">
        <v>55489</v>
      </c>
      <c r="J149" s="3">
        <v>838</v>
      </c>
      <c r="K149" s="3">
        <v>119</v>
      </c>
      <c r="L149" s="3">
        <v>316</v>
      </c>
      <c r="M149" s="3">
        <f t="shared" si="6"/>
        <v>1273</v>
      </c>
      <c r="N149" s="4">
        <f t="shared" si="7"/>
        <v>3.6235803136830717E-2</v>
      </c>
      <c r="O149" s="4">
        <f t="shared" si="8"/>
        <v>0.77302732913787797</v>
      </c>
    </row>
    <row r="150" spans="1:15" x14ac:dyDescent="0.3">
      <c r="A150" s="2" t="s">
        <v>240</v>
      </c>
      <c r="B150" s="2" t="s">
        <v>241</v>
      </c>
      <c r="C150" s="2" t="s">
        <v>27</v>
      </c>
      <c r="D150" s="2" t="s">
        <v>33</v>
      </c>
      <c r="E150" s="2" t="s">
        <v>19</v>
      </c>
      <c r="F150" s="2" t="s">
        <v>79</v>
      </c>
      <c r="G150" s="3">
        <v>26956</v>
      </c>
      <c r="H150" s="3">
        <v>7176</v>
      </c>
      <c r="I150" s="3">
        <v>12856</v>
      </c>
      <c r="J150" s="3">
        <v>201</v>
      </c>
      <c r="K150" s="3">
        <v>35</v>
      </c>
      <c r="L150" s="3">
        <v>48</v>
      </c>
      <c r="M150" s="3">
        <f t="shared" si="6"/>
        <v>284</v>
      </c>
      <c r="N150" s="4">
        <f t="shared" si="7"/>
        <v>3.9576365663322184E-2</v>
      </c>
      <c r="O150" s="4">
        <f t="shared" si="8"/>
        <v>0.26621160409556316</v>
      </c>
    </row>
    <row r="151" spans="1:15" x14ac:dyDescent="0.3">
      <c r="A151" s="2" t="s">
        <v>242</v>
      </c>
      <c r="B151" s="2" t="s">
        <v>241</v>
      </c>
      <c r="C151" s="2" t="s">
        <v>22</v>
      </c>
      <c r="D151" s="2" t="s">
        <v>23</v>
      </c>
      <c r="E151" s="2" t="s">
        <v>29</v>
      </c>
      <c r="F151" s="2" t="s">
        <v>47</v>
      </c>
      <c r="G151" s="3">
        <v>33283</v>
      </c>
      <c r="H151" s="3">
        <v>3113</v>
      </c>
      <c r="I151" s="3">
        <v>4056</v>
      </c>
      <c r="J151" s="3">
        <v>89</v>
      </c>
      <c r="K151" s="3">
        <v>8</v>
      </c>
      <c r="L151" s="3">
        <v>23</v>
      </c>
      <c r="M151" s="3">
        <f t="shared" si="6"/>
        <v>120</v>
      </c>
      <c r="N151" s="4">
        <f t="shared" si="7"/>
        <v>3.8548024413748792E-2</v>
      </c>
      <c r="O151" s="4">
        <f t="shared" si="8"/>
        <v>9.3531232160562444E-2</v>
      </c>
    </row>
    <row r="152" spans="1:15" x14ac:dyDescent="0.3">
      <c r="A152" s="2" t="s">
        <v>243</v>
      </c>
      <c r="B152" s="2" t="s">
        <v>244</v>
      </c>
      <c r="C152" s="2" t="s">
        <v>17</v>
      </c>
      <c r="D152" s="2" t="s">
        <v>18</v>
      </c>
      <c r="E152" s="2" t="s">
        <v>24</v>
      </c>
      <c r="F152" s="2" t="s">
        <v>47</v>
      </c>
      <c r="G152" s="3">
        <v>19771</v>
      </c>
      <c r="H152" s="3">
        <v>3197</v>
      </c>
      <c r="I152" s="3">
        <v>3568</v>
      </c>
      <c r="J152" s="3">
        <v>92</v>
      </c>
      <c r="K152" s="3">
        <v>18</v>
      </c>
      <c r="L152" s="3">
        <v>18</v>
      </c>
      <c r="M152" s="3">
        <f t="shared" si="6"/>
        <v>128</v>
      </c>
      <c r="N152" s="4">
        <f t="shared" si="7"/>
        <v>4.0037535189239915E-2</v>
      </c>
      <c r="O152" s="4">
        <f t="shared" si="8"/>
        <v>0.16170148196853978</v>
      </c>
    </row>
    <row r="153" spans="1:15" x14ac:dyDescent="0.3">
      <c r="A153" s="2" t="s">
        <v>245</v>
      </c>
      <c r="B153" s="2" t="s">
        <v>244</v>
      </c>
      <c r="C153" s="2" t="s">
        <v>43</v>
      </c>
      <c r="D153" s="2" t="s">
        <v>50</v>
      </c>
      <c r="E153" s="2" t="s">
        <v>24</v>
      </c>
      <c r="F153" s="2" t="s">
        <v>47</v>
      </c>
      <c r="G153" s="3">
        <v>10555</v>
      </c>
      <c r="H153" s="3">
        <v>1286</v>
      </c>
      <c r="I153" s="3">
        <v>1511</v>
      </c>
      <c r="J153" s="3">
        <v>12</v>
      </c>
      <c r="K153" s="3">
        <v>1</v>
      </c>
      <c r="L153" s="3">
        <v>5</v>
      </c>
      <c r="M153" s="3">
        <f t="shared" si="6"/>
        <v>18</v>
      </c>
      <c r="N153" s="4">
        <f t="shared" si="7"/>
        <v>1.3996889580093312E-2</v>
      </c>
      <c r="O153" s="4">
        <f t="shared" si="8"/>
        <v>0.12183799147323543</v>
      </c>
    </row>
    <row r="154" spans="1:15" x14ac:dyDescent="0.3">
      <c r="A154" s="2" t="s">
        <v>246</v>
      </c>
      <c r="B154" s="2" t="s">
        <v>244</v>
      </c>
      <c r="C154" s="2" t="s">
        <v>45</v>
      </c>
      <c r="D154" s="2" t="s">
        <v>28</v>
      </c>
      <c r="E154" s="2" t="s">
        <v>24</v>
      </c>
      <c r="F154" s="2" t="s">
        <v>25</v>
      </c>
      <c r="G154" s="3">
        <v>45377</v>
      </c>
      <c r="H154" s="3">
        <v>19856</v>
      </c>
      <c r="I154" s="3">
        <v>27211</v>
      </c>
      <c r="J154" s="3">
        <v>358</v>
      </c>
      <c r="K154" s="3">
        <v>64</v>
      </c>
      <c r="L154" s="3">
        <v>68</v>
      </c>
      <c r="M154" s="3">
        <f t="shared" si="6"/>
        <v>490</v>
      </c>
      <c r="N154" s="4">
        <f t="shared" si="7"/>
        <v>2.4677679290894441E-2</v>
      </c>
      <c r="O154" s="4">
        <f t="shared" si="8"/>
        <v>0.43757850893624523</v>
      </c>
    </row>
    <row r="155" spans="1:15" x14ac:dyDescent="0.3">
      <c r="A155" s="2" t="s">
        <v>247</v>
      </c>
      <c r="B155" s="2" t="s">
        <v>248</v>
      </c>
      <c r="C155" s="2" t="s">
        <v>27</v>
      </c>
      <c r="D155" s="2" t="s">
        <v>18</v>
      </c>
      <c r="E155" s="2" t="s">
        <v>40</v>
      </c>
      <c r="F155" s="2" t="s">
        <v>79</v>
      </c>
      <c r="G155" s="3">
        <v>20038</v>
      </c>
      <c r="H155" s="3">
        <v>3362</v>
      </c>
      <c r="I155" s="3">
        <v>5907</v>
      </c>
      <c r="J155" s="3">
        <v>178</v>
      </c>
      <c r="K155" s="3">
        <v>26</v>
      </c>
      <c r="L155" s="3">
        <v>59</v>
      </c>
      <c r="M155" s="3">
        <f t="shared" si="6"/>
        <v>263</v>
      </c>
      <c r="N155" s="4">
        <f t="shared" si="7"/>
        <v>7.8227245687091024E-2</v>
      </c>
      <c r="O155" s="4">
        <f t="shared" si="8"/>
        <v>0.16778121569018864</v>
      </c>
    </row>
    <row r="156" spans="1:15" x14ac:dyDescent="0.3">
      <c r="A156" s="2" t="s">
        <v>249</v>
      </c>
      <c r="B156" s="2" t="s">
        <v>248</v>
      </c>
      <c r="C156" s="2" t="s">
        <v>83</v>
      </c>
      <c r="D156" s="2" t="s">
        <v>23</v>
      </c>
      <c r="E156" s="2" t="s">
        <v>46</v>
      </c>
      <c r="F156" s="2" t="s">
        <v>79</v>
      </c>
      <c r="G156" s="3">
        <v>34144</v>
      </c>
      <c r="H156" s="3">
        <v>5214</v>
      </c>
      <c r="I156" s="3">
        <v>6279</v>
      </c>
      <c r="J156" s="3">
        <v>115</v>
      </c>
      <c r="K156" s="3">
        <v>24</v>
      </c>
      <c r="L156" s="3">
        <v>33</v>
      </c>
      <c r="M156" s="3">
        <f t="shared" si="6"/>
        <v>172</v>
      </c>
      <c r="N156" s="4">
        <f t="shared" si="7"/>
        <v>3.2988108937476029E-2</v>
      </c>
      <c r="O156" s="4">
        <f t="shared" si="8"/>
        <v>0.15270618556701032</v>
      </c>
    </row>
    <row r="157" spans="1:15" x14ac:dyDescent="0.3">
      <c r="A157" s="2" t="s">
        <v>250</v>
      </c>
      <c r="B157" s="2" t="s">
        <v>248</v>
      </c>
      <c r="C157" s="2" t="s">
        <v>73</v>
      </c>
      <c r="D157" s="2" t="s">
        <v>23</v>
      </c>
      <c r="E157" s="2" t="s">
        <v>19</v>
      </c>
      <c r="F157" s="2" t="s">
        <v>41</v>
      </c>
      <c r="G157" s="3">
        <v>34396</v>
      </c>
      <c r="H157" s="3">
        <v>6311</v>
      </c>
      <c r="I157" s="3">
        <v>8264</v>
      </c>
      <c r="J157" s="3">
        <v>191</v>
      </c>
      <c r="K157" s="3">
        <v>25</v>
      </c>
      <c r="L157" s="3">
        <v>31</v>
      </c>
      <c r="M157" s="3">
        <f t="shared" si="6"/>
        <v>247</v>
      </c>
      <c r="N157" s="4">
        <f t="shared" si="7"/>
        <v>3.9138012993186498E-2</v>
      </c>
      <c r="O157" s="4">
        <f t="shared" si="8"/>
        <v>0.18348063728340505</v>
      </c>
    </row>
    <row r="158" spans="1:15" x14ac:dyDescent="0.3">
      <c r="A158" s="2" t="s">
        <v>251</v>
      </c>
      <c r="B158" s="2" t="s">
        <v>248</v>
      </c>
      <c r="C158" s="2" t="s">
        <v>64</v>
      </c>
      <c r="D158" s="2" t="s">
        <v>28</v>
      </c>
      <c r="E158" s="2" t="s">
        <v>29</v>
      </c>
      <c r="F158" s="2" t="s">
        <v>30</v>
      </c>
      <c r="G158" s="3">
        <v>46581</v>
      </c>
      <c r="H158" s="3">
        <v>29318</v>
      </c>
      <c r="I158" s="3">
        <v>48601</v>
      </c>
      <c r="J158" s="3">
        <v>1262</v>
      </c>
      <c r="K158" s="3">
        <v>88</v>
      </c>
      <c r="L158" s="3">
        <v>326</v>
      </c>
      <c r="M158" s="3">
        <f t="shared" si="6"/>
        <v>1676</v>
      </c>
      <c r="N158" s="4">
        <f t="shared" si="7"/>
        <v>5.7166245992223211E-2</v>
      </c>
      <c r="O158" s="4">
        <f t="shared" si="8"/>
        <v>0.6293982525063867</v>
      </c>
    </row>
    <row r="159" spans="1:15" x14ac:dyDescent="0.3">
      <c r="A159" s="2" t="s">
        <v>252</v>
      </c>
      <c r="B159" s="2" t="s">
        <v>248</v>
      </c>
      <c r="C159" s="2" t="s">
        <v>22</v>
      </c>
      <c r="D159" s="2" t="s">
        <v>28</v>
      </c>
      <c r="E159" s="2" t="s">
        <v>29</v>
      </c>
      <c r="F159" s="2" t="s">
        <v>25</v>
      </c>
      <c r="G159" s="3">
        <v>46109</v>
      </c>
      <c r="H159" s="3">
        <v>29015</v>
      </c>
      <c r="I159" s="3">
        <v>35379</v>
      </c>
      <c r="J159" s="3">
        <v>1119</v>
      </c>
      <c r="K159" s="3">
        <v>202</v>
      </c>
      <c r="L159" s="3">
        <v>186</v>
      </c>
      <c r="M159" s="3">
        <f t="shared" si="6"/>
        <v>1507</v>
      </c>
      <c r="N159" s="4">
        <f t="shared" si="7"/>
        <v>5.1938652421161469E-2</v>
      </c>
      <c r="O159" s="4">
        <f t="shared" si="8"/>
        <v>0.62926977379687266</v>
      </c>
    </row>
    <row r="160" spans="1:15" x14ac:dyDescent="0.3">
      <c r="A160" s="2" t="s">
        <v>253</v>
      </c>
      <c r="B160" s="2" t="s">
        <v>254</v>
      </c>
      <c r="C160" s="2" t="s">
        <v>45</v>
      </c>
      <c r="D160" s="2" t="s">
        <v>18</v>
      </c>
      <c r="E160" s="2" t="s">
        <v>46</v>
      </c>
      <c r="F160" s="2" t="s">
        <v>30</v>
      </c>
      <c r="G160" s="3">
        <v>19592</v>
      </c>
      <c r="H160" s="3">
        <v>3687</v>
      </c>
      <c r="I160" s="3">
        <v>5136</v>
      </c>
      <c r="J160" s="3">
        <v>50</v>
      </c>
      <c r="K160" s="3">
        <v>7</v>
      </c>
      <c r="L160" s="3">
        <v>17</v>
      </c>
      <c r="M160" s="3">
        <f t="shared" si="6"/>
        <v>74</v>
      </c>
      <c r="N160" s="4">
        <f t="shared" si="7"/>
        <v>2.007051803634391E-2</v>
      </c>
      <c r="O160" s="4">
        <f t="shared" si="8"/>
        <v>0.18818905675786035</v>
      </c>
    </row>
    <row r="161" spans="1:15" x14ac:dyDescent="0.3">
      <c r="A161" s="2" t="s">
        <v>255</v>
      </c>
      <c r="B161" s="2" t="s">
        <v>256</v>
      </c>
      <c r="C161" s="2" t="s">
        <v>27</v>
      </c>
      <c r="D161" s="2" t="s">
        <v>33</v>
      </c>
      <c r="E161" s="2" t="s">
        <v>19</v>
      </c>
      <c r="F161" s="2" t="s">
        <v>79</v>
      </c>
      <c r="G161" s="3">
        <v>27282</v>
      </c>
      <c r="H161" s="3">
        <v>8434</v>
      </c>
      <c r="I161" s="3">
        <v>11502</v>
      </c>
      <c r="J161" s="3">
        <v>457</v>
      </c>
      <c r="K161" s="3">
        <v>65</v>
      </c>
      <c r="L161" s="3">
        <v>114</v>
      </c>
      <c r="M161" s="3">
        <f t="shared" si="6"/>
        <v>636</v>
      </c>
      <c r="N161" s="4">
        <f t="shared" si="7"/>
        <v>7.540905857244487E-2</v>
      </c>
      <c r="O161" s="4">
        <f t="shared" si="8"/>
        <v>0.30914155853676417</v>
      </c>
    </row>
    <row r="162" spans="1:15" x14ac:dyDescent="0.3">
      <c r="A162" s="2" t="s">
        <v>257</v>
      </c>
      <c r="B162" s="2" t="s">
        <v>256</v>
      </c>
      <c r="C162" s="2" t="s">
        <v>52</v>
      </c>
      <c r="D162" s="2" t="s">
        <v>33</v>
      </c>
      <c r="E162" s="2" t="s">
        <v>29</v>
      </c>
      <c r="F162" s="2" t="s">
        <v>35</v>
      </c>
      <c r="G162" s="3">
        <v>26866</v>
      </c>
      <c r="H162" s="3">
        <v>6230</v>
      </c>
      <c r="I162" s="3">
        <v>7928</v>
      </c>
      <c r="J162" s="3">
        <v>204</v>
      </c>
      <c r="K162" s="3">
        <v>44</v>
      </c>
      <c r="L162" s="3">
        <v>51</v>
      </c>
      <c r="M162" s="3">
        <f t="shared" si="6"/>
        <v>299</v>
      </c>
      <c r="N162" s="4">
        <f t="shared" si="7"/>
        <v>4.7993579454253608E-2</v>
      </c>
      <c r="O162" s="4">
        <f t="shared" si="8"/>
        <v>0.23189161021365295</v>
      </c>
    </row>
    <row r="163" spans="1:15" x14ac:dyDescent="0.3">
      <c r="A163" s="2" t="s">
        <v>258</v>
      </c>
      <c r="B163" s="2" t="s">
        <v>256</v>
      </c>
      <c r="C163" s="2" t="s">
        <v>22</v>
      </c>
      <c r="D163" s="2" t="s">
        <v>28</v>
      </c>
      <c r="E163" s="2" t="s">
        <v>24</v>
      </c>
      <c r="F163" s="2" t="s">
        <v>35</v>
      </c>
      <c r="G163" s="3">
        <v>45466</v>
      </c>
      <c r="H163" s="3">
        <v>28314</v>
      </c>
      <c r="I163" s="3">
        <v>41911</v>
      </c>
      <c r="J163" s="3">
        <v>777</v>
      </c>
      <c r="K163" s="3">
        <v>92</v>
      </c>
      <c r="L163" s="3">
        <v>227</v>
      </c>
      <c r="M163" s="3">
        <f t="shared" si="6"/>
        <v>1096</v>
      </c>
      <c r="N163" s="4">
        <f t="shared" si="7"/>
        <v>3.8708765981493254E-2</v>
      </c>
      <c r="O163" s="4">
        <f t="shared" si="8"/>
        <v>0.62275106673118374</v>
      </c>
    </row>
    <row r="164" spans="1:15" x14ac:dyDescent="0.3">
      <c r="A164" s="2" t="s">
        <v>259</v>
      </c>
      <c r="B164" s="2" t="s">
        <v>260</v>
      </c>
      <c r="C164" s="2" t="s">
        <v>73</v>
      </c>
      <c r="D164" s="2" t="s">
        <v>33</v>
      </c>
      <c r="E164" s="2" t="s">
        <v>46</v>
      </c>
      <c r="F164" s="2" t="s">
        <v>30</v>
      </c>
      <c r="G164" s="3">
        <v>26628</v>
      </c>
      <c r="H164" s="3">
        <v>7973</v>
      </c>
      <c r="I164" s="3">
        <v>10201</v>
      </c>
      <c r="J164" s="3">
        <v>138</v>
      </c>
      <c r="K164" s="3">
        <v>27</v>
      </c>
      <c r="L164" s="3">
        <v>25</v>
      </c>
      <c r="M164" s="3">
        <f t="shared" si="6"/>
        <v>190</v>
      </c>
      <c r="N164" s="4">
        <f t="shared" si="7"/>
        <v>2.3830427693465446E-2</v>
      </c>
      <c r="O164" s="4">
        <f t="shared" si="8"/>
        <v>0.29942166140904314</v>
      </c>
    </row>
    <row r="165" spans="1:15" x14ac:dyDescent="0.3">
      <c r="A165" s="2" t="s">
        <v>261</v>
      </c>
      <c r="B165" s="2" t="s">
        <v>260</v>
      </c>
      <c r="C165" s="2" t="s">
        <v>49</v>
      </c>
      <c r="D165" s="2" t="s">
        <v>18</v>
      </c>
      <c r="E165" s="2" t="s">
        <v>46</v>
      </c>
      <c r="F165" s="2" t="s">
        <v>25</v>
      </c>
      <c r="G165" s="3">
        <v>19698</v>
      </c>
      <c r="H165" s="3">
        <v>4608</v>
      </c>
      <c r="I165" s="3">
        <v>6781</v>
      </c>
      <c r="J165" s="3">
        <v>91</v>
      </c>
      <c r="K165" s="3">
        <v>15</v>
      </c>
      <c r="L165" s="3">
        <v>22</v>
      </c>
      <c r="M165" s="3">
        <f t="shared" si="6"/>
        <v>128</v>
      </c>
      <c r="N165" s="4">
        <f t="shared" si="7"/>
        <v>2.7777777777777776E-2</v>
      </c>
      <c r="O165" s="4">
        <f t="shared" si="8"/>
        <v>0.23393237892171795</v>
      </c>
    </row>
    <row r="166" spans="1:15" x14ac:dyDescent="0.3">
      <c r="A166" s="2" t="s">
        <v>262</v>
      </c>
      <c r="B166" s="2" t="s">
        <v>260</v>
      </c>
      <c r="C166" s="2" t="s">
        <v>17</v>
      </c>
      <c r="D166" s="2" t="s">
        <v>18</v>
      </c>
      <c r="E166" s="2" t="s">
        <v>46</v>
      </c>
      <c r="F166" s="2" t="s">
        <v>20</v>
      </c>
      <c r="G166" s="3">
        <v>19509</v>
      </c>
      <c r="H166" s="3">
        <v>4098</v>
      </c>
      <c r="I166" s="3">
        <v>7173</v>
      </c>
      <c r="J166" s="3">
        <v>78</v>
      </c>
      <c r="K166" s="3">
        <v>9</v>
      </c>
      <c r="L166" s="3">
        <v>14</v>
      </c>
      <c r="M166" s="3">
        <f t="shared" si="6"/>
        <v>101</v>
      </c>
      <c r="N166" s="4">
        <f t="shared" si="7"/>
        <v>2.4646168862859932E-2</v>
      </c>
      <c r="O166" s="4">
        <f t="shared" si="8"/>
        <v>0.21005689681685377</v>
      </c>
    </row>
    <row r="167" spans="1:15" x14ac:dyDescent="0.3">
      <c r="A167" s="2" t="s">
        <v>263</v>
      </c>
      <c r="B167" s="2" t="s">
        <v>260</v>
      </c>
      <c r="C167" s="2" t="s">
        <v>22</v>
      </c>
      <c r="D167" s="2" t="s">
        <v>50</v>
      </c>
      <c r="E167" s="2" t="s">
        <v>34</v>
      </c>
      <c r="F167" s="2" t="s">
        <v>30</v>
      </c>
      <c r="G167" s="3">
        <v>10782</v>
      </c>
      <c r="H167" s="3">
        <v>1869</v>
      </c>
      <c r="I167" s="3">
        <v>3022</v>
      </c>
      <c r="J167" s="3">
        <v>82</v>
      </c>
      <c r="K167" s="3">
        <v>9</v>
      </c>
      <c r="L167" s="3">
        <v>14</v>
      </c>
      <c r="M167" s="3">
        <f t="shared" si="6"/>
        <v>105</v>
      </c>
      <c r="N167" s="4">
        <f t="shared" si="7"/>
        <v>5.6179775280898875E-2</v>
      </c>
      <c r="O167" s="4">
        <f t="shared" si="8"/>
        <v>0.17334446299387868</v>
      </c>
    </row>
    <row r="168" spans="1:15" x14ac:dyDescent="0.3">
      <c r="A168" s="2" t="s">
        <v>264</v>
      </c>
      <c r="B168" s="2" t="s">
        <v>265</v>
      </c>
      <c r="C168" s="2" t="s">
        <v>83</v>
      </c>
      <c r="D168" s="2" t="s">
        <v>33</v>
      </c>
      <c r="E168" s="2" t="s">
        <v>40</v>
      </c>
      <c r="F168" s="2" t="s">
        <v>20</v>
      </c>
      <c r="G168" s="3">
        <v>27305</v>
      </c>
      <c r="H168" s="3">
        <v>12008</v>
      </c>
      <c r="I168" s="3">
        <v>20992</v>
      </c>
      <c r="J168" s="3">
        <v>808</v>
      </c>
      <c r="K168" s="3">
        <v>66</v>
      </c>
      <c r="L168" s="3">
        <v>226</v>
      </c>
      <c r="M168" s="3">
        <f t="shared" si="6"/>
        <v>1100</v>
      </c>
      <c r="N168" s="4">
        <f t="shared" si="7"/>
        <v>9.1605596269153891E-2</v>
      </c>
      <c r="O168" s="4">
        <f t="shared" si="8"/>
        <v>0.4397729353598242</v>
      </c>
    </row>
    <row r="169" spans="1:15" x14ac:dyDescent="0.3">
      <c r="A169" s="2" t="s">
        <v>266</v>
      </c>
      <c r="B169" s="2" t="s">
        <v>265</v>
      </c>
      <c r="C169" s="2" t="s">
        <v>55</v>
      </c>
      <c r="D169" s="2" t="s">
        <v>18</v>
      </c>
      <c r="E169" s="2" t="s">
        <v>24</v>
      </c>
      <c r="F169" s="2" t="s">
        <v>47</v>
      </c>
      <c r="G169" s="3">
        <v>20246</v>
      </c>
      <c r="H169" s="3">
        <v>2568</v>
      </c>
      <c r="I169" s="3">
        <v>3731</v>
      </c>
      <c r="J169" s="3">
        <v>41</v>
      </c>
      <c r="K169" s="3">
        <v>7</v>
      </c>
      <c r="L169" s="3">
        <v>11</v>
      </c>
      <c r="M169" s="3">
        <f t="shared" si="6"/>
        <v>59</v>
      </c>
      <c r="N169" s="4">
        <f t="shared" si="7"/>
        <v>2.2975077881619937E-2</v>
      </c>
      <c r="O169" s="4">
        <f t="shared" si="8"/>
        <v>0.12683986960387236</v>
      </c>
    </row>
    <row r="170" spans="1:15" x14ac:dyDescent="0.3">
      <c r="A170" s="2" t="s">
        <v>267</v>
      </c>
      <c r="B170" s="2" t="s">
        <v>265</v>
      </c>
      <c r="C170" s="2" t="s">
        <v>27</v>
      </c>
      <c r="D170" s="2" t="s">
        <v>23</v>
      </c>
      <c r="E170" s="2" t="s">
        <v>46</v>
      </c>
      <c r="F170" s="2" t="s">
        <v>79</v>
      </c>
      <c r="G170" s="3">
        <v>34352</v>
      </c>
      <c r="H170" s="3">
        <v>5478</v>
      </c>
      <c r="I170" s="3">
        <v>8929</v>
      </c>
      <c r="J170" s="3">
        <v>71</v>
      </c>
      <c r="K170" s="3">
        <v>12</v>
      </c>
      <c r="L170" s="3">
        <v>8</v>
      </c>
      <c r="M170" s="3">
        <f t="shared" si="6"/>
        <v>91</v>
      </c>
      <c r="N170" s="4">
        <f t="shared" si="7"/>
        <v>1.661190215407083E-2</v>
      </c>
      <c r="O170" s="4">
        <f t="shared" si="8"/>
        <v>0.15946669771774569</v>
      </c>
    </row>
    <row r="171" spans="1:15" x14ac:dyDescent="0.3">
      <c r="A171" s="2" t="s">
        <v>268</v>
      </c>
      <c r="B171" s="2" t="s">
        <v>265</v>
      </c>
      <c r="C171" s="2" t="s">
        <v>83</v>
      </c>
      <c r="D171" s="2" t="s">
        <v>50</v>
      </c>
      <c r="E171" s="2" t="s">
        <v>34</v>
      </c>
      <c r="F171" s="2" t="s">
        <v>20</v>
      </c>
      <c r="G171" s="3">
        <v>10941</v>
      </c>
      <c r="H171" s="3">
        <v>2514</v>
      </c>
      <c r="I171" s="3">
        <v>4412</v>
      </c>
      <c r="J171" s="3">
        <v>30</v>
      </c>
      <c r="K171" s="3">
        <v>3</v>
      </c>
      <c r="L171" s="3">
        <v>10</v>
      </c>
      <c r="M171" s="3">
        <f t="shared" si="6"/>
        <v>43</v>
      </c>
      <c r="N171" s="4">
        <f t="shared" si="7"/>
        <v>1.7104216388225936E-2</v>
      </c>
      <c r="O171" s="4">
        <f t="shared" si="8"/>
        <v>0.22977789964354264</v>
      </c>
    </row>
    <row r="172" spans="1:15" x14ac:dyDescent="0.3">
      <c r="A172" s="2" t="s">
        <v>269</v>
      </c>
      <c r="B172" s="2" t="s">
        <v>265</v>
      </c>
      <c r="C172" s="2" t="s">
        <v>73</v>
      </c>
      <c r="D172" s="2" t="s">
        <v>28</v>
      </c>
      <c r="E172" s="2" t="s">
        <v>34</v>
      </c>
      <c r="F172" s="2" t="s">
        <v>35</v>
      </c>
      <c r="G172" s="3">
        <v>46289</v>
      </c>
      <c r="H172" s="3">
        <v>32416</v>
      </c>
      <c r="I172" s="3">
        <v>37067</v>
      </c>
      <c r="J172" s="3">
        <v>520</v>
      </c>
      <c r="K172" s="3">
        <v>73</v>
      </c>
      <c r="L172" s="3">
        <v>139</v>
      </c>
      <c r="M172" s="3">
        <f t="shared" si="6"/>
        <v>732</v>
      </c>
      <c r="N172" s="4">
        <f t="shared" si="7"/>
        <v>2.2581441263573546E-2</v>
      </c>
      <c r="O172" s="4">
        <f t="shared" si="8"/>
        <v>0.70029596664434313</v>
      </c>
    </row>
    <row r="173" spans="1:15" x14ac:dyDescent="0.3">
      <c r="A173" s="2" t="s">
        <v>270</v>
      </c>
      <c r="B173" s="2" t="s">
        <v>271</v>
      </c>
      <c r="C173" s="2" t="s">
        <v>27</v>
      </c>
      <c r="D173" s="2" t="s">
        <v>28</v>
      </c>
      <c r="E173" s="2" t="s">
        <v>19</v>
      </c>
      <c r="F173" s="2" t="s">
        <v>47</v>
      </c>
      <c r="G173" s="3">
        <v>45443</v>
      </c>
      <c r="H173" s="3">
        <v>33447</v>
      </c>
      <c r="I173" s="3">
        <v>50973</v>
      </c>
      <c r="J173" s="3">
        <v>1072</v>
      </c>
      <c r="K173" s="3">
        <v>142</v>
      </c>
      <c r="L173" s="3">
        <v>251</v>
      </c>
      <c r="M173" s="3">
        <f t="shared" si="6"/>
        <v>1465</v>
      </c>
      <c r="N173" s="4">
        <f t="shared" si="7"/>
        <v>4.3800639818219869E-2</v>
      </c>
      <c r="O173" s="4">
        <f t="shared" si="8"/>
        <v>0.7360209493211276</v>
      </c>
    </row>
    <row r="174" spans="1:15" x14ac:dyDescent="0.3">
      <c r="A174" s="2" t="s">
        <v>272</v>
      </c>
      <c r="B174" s="2" t="s">
        <v>273</v>
      </c>
      <c r="C174" s="2" t="s">
        <v>22</v>
      </c>
      <c r="D174" s="2" t="s">
        <v>18</v>
      </c>
      <c r="E174" s="2" t="s">
        <v>29</v>
      </c>
      <c r="F174" s="2" t="s">
        <v>30</v>
      </c>
      <c r="G174" s="3">
        <v>20368</v>
      </c>
      <c r="H174" s="3">
        <v>2493</v>
      </c>
      <c r="I174" s="3">
        <v>4188</v>
      </c>
      <c r="J174" s="3">
        <v>112</v>
      </c>
      <c r="K174" s="3">
        <v>17</v>
      </c>
      <c r="L174" s="3">
        <v>37</v>
      </c>
      <c r="M174" s="3">
        <f t="shared" si="6"/>
        <v>166</v>
      </c>
      <c r="N174" s="4">
        <f t="shared" si="7"/>
        <v>6.658644203770557E-2</v>
      </c>
      <c r="O174" s="4">
        <f t="shared" si="8"/>
        <v>0.12239787902592301</v>
      </c>
    </row>
    <row r="175" spans="1:15" x14ac:dyDescent="0.3">
      <c r="A175" s="2" t="s">
        <v>274</v>
      </c>
      <c r="B175" s="2" t="s">
        <v>273</v>
      </c>
      <c r="C175" s="2" t="s">
        <v>43</v>
      </c>
      <c r="D175" s="2" t="s">
        <v>23</v>
      </c>
      <c r="E175" s="2" t="s">
        <v>34</v>
      </c>
      <c r="F175" s="2" t="s">
        <v>25</v>
      </c>
      <c r="G175" s="3">
        <v>34420</v>
      </c>
      <c r="H175" s="3">
        <v>5109</v>
      </c>
      <c r="I175" s="3">
        <v>8834</v>
      </c>
      <c r="J175" s="3">
        <v>117</v>
      </c>
      <c r="K175" s="3">
        <v>11</v>
      </c>
      <c r="L175" s="3">
        <v>51</v>
      </c>
      <c r="M175" s="3">
        <f t="shared" si="6"/>
        <v>179</v>
      </c>
      <c r="N175" s="4">
        <f t="shared" si="7"/>
        <v>3.503621060872969E-2</v>
      </c>
      <c r="O175" s="4">
        <f t="shared" si="8"/>
        <v>0.14843114468332366</v>
      </c>
    </row>
    <row r="176" spans="1:15" x14ac:dyDescent="0.3">
      <c r="A176" s="2" t="s">
        <v>275</v>
      </c>
      <c r="B176" s="2" t="s">
        <v>273</v>
      </c>
      <c r="C176" s="2" t="s">
        <v>83</v>
      </c>
      <c r="D176" s="2" t="s">
        <v>50</v>
      </c>
      <c r="E176" s="2" t="s">
        <v>40</v>
      </c>
      <c r="F176" s="2" t="s">
        <v>35</v>
      </c>
      <c r="G176" s="3">
        <v>10884</v>
      </c>
      <c r="H176" s="3">
        <v>2297</v>
      </c>
      <c r="I176" s="3">
        <v>3839</v>
      </c>
      <c r="J176" s="3">
        <v>131</v>
      </c>
      <c r="K176" s="3">
        <v>9</v>
      </c>
      <c r="L176" s="3">
        <v>38</v>
      </c>
      <c r="M176" s="3">
        <f t="shared" si="6"/>
        <v>178</v>
      </c>
      <c r="N176" s="4">
        <f t="shared" si="7"/>
        <v>7.7492381367000429E-2</v>
      </c>
      <c r="O176" s="4">
        <f t="shared" si="8"/>
        <v>0.21104373392135245</v>
      </c>
    </row>
    <row r="177" spans="1:15" x14ac:dyDescent="0.3">
      <c r="A177" s="2" t="s">
        <v>276</v>
      </c>
      <c r="B177" s="2" t="s">
        <v>273</v>
      </c>
      <c r="C177" s="2" t="s">
        <v>22</v>
      </c>
      <c r="D177" s="2" t="s">
        <v>50</v>
      </c>
      <c r="E177" s="2" t="s">
        <v>46</v>
      </c>
      <c r="F177" s="2" t="s">
        <v>30</v>
      </c>
      <c r="G177" s="3">
        <v>10805</v>
      </c>
      <c r="H177" s="3">
        <v>1446</v>
      </c>
      <c r="I177" s="3">
        <v>2495</v>
      </c>
      <c r="J177" s="3">
        <v>36</v>
      </c>
      <c r="K177" s="3">
        <v>4</v>
      </c>
      <c r="L177" s="3">
        <v>11</v>
      </c>
      <c r="M177" s="3">
        <f t="shared" si="6"/>
        <v>51</v>
      </c>
      <c r="N177" s="4">
        <f t="shared" si="7"/>
        <v>3.5269709543568464E-2</v>
      </c>
      <c r="O177" s="4">
        <f t="shared" si="8"/>
        <v>0.13382693197593706</v>
      </c>
    </row>
    <row r="178" spans="1:15" x14ac:dyDescent="0.3">
      <c r="A178" s="2" t="s">
        <v>277</v>
      </c>
      <c r="B178" s="2" t="s">
        <v>278</v>
      </c>
      <c r="C178" s="2" t="s">
        <v>55</v>
      </c>
      <c r="D178" s="2" t="s">
        <v>50</v>
      </c>
      <c r="E178" s="2" t="s">
        <v>40</v>
      </c>
      <c r="F178" s="2" t="s">
        <v>47</v>
      </c>
      <c r="G178" s="3">
        <v>10965</v>
      </c>
      <c r="H178" s="3">
        <v>3602</v>
      </c>
      <c r="I178" s="3">
        <v>4909</v>
      </c>
      <c r="J178" s="3">
        <v>197</v>
      </c>
      <c r="K178" s="3">
        <v>27</v>
      </c>
      <c r="L178" s="3">
        <v>39</v>
      </c>
      <c r="M178" s="3">
        <f t="shared" si="6"/>
        <v>263</v>
      </c>
      <c r="N178" s="4">
        <f t="shared" si="7"/>
        <v>7.301499167129373E-2</v>
      </c>
      <c r="O178" s="4">
        <f t="shared" si="8"/>
        <v>0.32849977200182401</v>
      </c>
    </row>
    <row r="179" spans="1:15" x14ac:dyDescent="0.3">
      <c r="A179" s="2" t="s">
        <v>279</v>
      </c>
      <c r="B179" s="2" t="s">
        <v>280</v>
      </c>
      <c r="C179" s="2" t="s">
        <v>27</v>
      </c>
      <c r="D179" s="2" t="s">
        <v>33</v>
      </c>
      <c r="E179" s="2" t="s">
        <v>40</v>
      </c>
      <c r="F179" s="2" t="s">
        <v>20</v>
      </c>
      <c r="G179" s="3">
        <v>27304</v>
      </c>
      <c r="H179" s="3">
        <v>6556</v>
      </c>
      <c r="I179" s="3">
        <v>7227</v>
      </c>
      <c r="J179" s="3">
        <v>116</v>
      </c>
      <c r="K179" s="3">
        <v>19</v>
      </c>
      <c r="L179" s="3">
        <v>33</v>
      </c>
      <c r="M179" s="3">
        <f t="shared" si="6"/>
        <v>168</v>
      </c>
      <c r="N179" s="4">
        <f t="shared" si="7"/>
        <v>2.5625381330079317E-2</v>
      </c>
      <c r="O179" s="4">
        <f t="shared" si="8"/>
        <v>0.24011133899794901</v>
      </c>
    </row>
    <row r="180" spans="1:15" x14ac:dyDescent="0.3">
      <c r="A180" s="2" t="s">
        <v>281</v>
      </c>
      <c r="B180" s="2" t="s">
        <v>280</v>
      </c>
      <c r="C180" s="2" t="s">
        <v>55</v>
      </c>
      <c r="D180" s="2" t="s">
        <v>18</v>
      </c>
      <c r="E180" s="2" t="s">
        <v>19</v>
      </c>
      <c r="F180" s="2" t="s">
        <v>25</v>
      </c>
      <c r="G180" s="3">
        <v>20068</v>
      </c>
      <c r="H180" s="3">
        <v>2629</v>
      </c>
      <c r="I180" s="3">
        <v>3238</v>
      </c>
      <c r="J180" s="3">
        <v>141</v>
      </c>
      <c r="K180" s="3">
        <v>9</v>
      </c>
      <c r="L180" s="3">
        <v>35</v>
      </c>
      <c r="M180" s="3">
        <f t="shared" si="6"/>
        <v>185</v>
      </c>
      <c r="N180" s="4">
        <f t="shared" si="7"/>
        <v>7.0368961582350703E-2</v>
      </c>
      <c r="O180" s="4">
        <f t="shared" si="8"/>
        <v>0.13100458441299581</v>
      </c>
    </row>
    <row r="181" spans="1:15" x14ac:dyDescent="0.3">
      <c r="A181" s="2" t="s">
        <v>282</v>
      </c>
      <c r="B181" s="2" t="s">
        <v>280</v>
      </c>
      <c r="C181" s="2" t="s">
        <v>73</v>
      </c>
      <c r="D181" s="2" t="s">
        <v>23</v>
      </c>
      <c r="E181" s="2" t="s">
        <v>34</v>
      </c>
      <c r="F181" s="2" t="s">
        <v>25</v>
      </c>
      <c r="G181" s="3">
        <v>33833</v>
      </c>
      <c r="H181" s="3">
        <v>3184</v>
      </c>
      <c r="I181" s="3">
        <v>3577</v>
      </c>
      <c r="J181" s="3">
        <v>100</v>
      </c>
      <c r="K181" s="3">
        <v>7</v>
      </c>
      <c r="L181" s="3">
        <v>26</v>
      </c>
      <c r="M181" s="3">
        <f t="shared" si="6"/>
        <v>133</v>
      </c>
      <c r="N181" s="4">
        <f t="shared" si="7"/>
        <v>4.1771356783919598E-2</v>
      </c>
      <c r="O181" s="4">
        <f t="shared" si="8"/>
        <v>9.4109301569473586E-2</v>
      </c>
    </row>
    <row r="182" spans="1:15" x14ac:dyDescent="0.3">
      <c r="A182" s="2" t="s">
        <v>283</v>
      </c>
      <c r="B182" s="2" t="s">
        <v>280</v>
      </c>
      <c r="C182" s="2" t="s">
        <v>45</v>
      </c>
      <c r="D182" s="2" t="s">
        <v>50</v>
      </c>
      <c r="E182" s="2" t="s">
        <v>24</v>
      </c>
      <c r="F182" s="2" t="s">
        <v>25</v>
      </c>
      <c r="G182" s="3">
        <v>10933</v>
      </c>
      <c r="H182" s="3">
        <v>3263</v>
      </c>
      <c r="I182" s="3">
        <v>3909</v>
      </c>
      <c r="J182" s="3">
        <v>93</v>
      </c>
      <c r="K182" s="3">
        <v>19</v>
      </c>
      <c r="L182" s="3">
        <v>24</v>
      </c>
      <c r="M182" s="3">
        <f t="shared" si="6"/>
        <v>136</v>
      </c>
      <c r="N182" s="4">
        <f t="shared" si="7"/>
        <v>4.1679436101746861E-2</v>
      </c>
      <c r="O182" s="4">
        <f t="shared" si="8"/>
        <v>0.29845422116527942</v>
      </c>
    </row>
    <row r="183" spans="1:15" x14ac:dyDescent="0.3">
      <c r="A183" s="2" t="s">
        <v>284</v>
      </c>
      <c r="B183" s="2" t="s">
        <v>280</v>
      </c>
      <c r="C183" s="2" t="s">
        <v>27</v>
      </c>
      <c r="D183" s="2" t="s">
        <v>28</v>
      </c>
      <c r="E183" s="2" t="s">
        <v>46</v>
      </c>
      <c r="F183" s="2" t="s">
        <v>79</v>
      </c>
      <c r="G183" s="3">
        <v>45896</v>
      </c>
      <c r="H183" s="3">
        <v>37614</v>
      </c>
      <c r="I183" s="3">
        <v>67328</v>
      </c>
      <c r="J183" s="3">
        <v>617</v>
      </c>
      <c r="K183" s="3">
        <v>67</v>
      </c>
      <c r="L183" s="3">
        <v>183</v>
      </c>
      <c r="M183" s="3">
        <f t="shared" si="6"/>
        <v>867</v>
      </c>
      <c r="N183" s="4">
        <f t="shared" si="7"/>
        <v>2.3049928218216623E-2</v>
      </c>
      <c r="O183" s="4">
        <f t="shared" si="8"/>
        <v>0.81954854453547155</v>
      </c>
    </row>
    <row r="184" spans="1:15" x14ac:dyDescent="0.3">
      <c r="A184" s="2" t="s">
        <v>285</v>
      </c>
      <c r="B184" s="2" t="s">
        <v>286</v>
      </c>
      <c r="C184" s="2" t="s">
        <v>17</v>
      </c>
      <c r="D184" s="2" t="s">
        <v>28</v>
      </c>
      <c r="E184" s="2" t="s">
        <v>29</v>
      </c>
      <c r="F184" s="2" t="s">
        <v>41</v>
      </c>
      <c r="G184" s="3">
        <v>46991</v>
      </c>
      <c r="H184" s="3">
        <v>21483</v>
      </c>
      <c r="I184" s="3">
        <v>29892</v>
      </c>
      <c r="J184" s="3">
        <v>480</v>
      </c>
      <c r="K184" s="3">
        <v>61</v>
      </c>
      <c r="L184" s="3">
        <v>88</v>
      </c>
      <c r="M184" s="3">
        <f t="shared" si="6"/>
        <v>629</v>
      </c>
      <c r="N184" s="4">
        <f t="shared" si="7"/>
        <v>2.927896476283573E-2</v>
      </c>
      <c r="O184" s="4">
        <f t="shared" si="8"/>
        <v>0.45717265008193059</v>
      </c>
    </row>
    <row r="185" spans="1:15" x14ac:dyDescent="0.3">
      <c r="A185" s="2" t="s">
        <v>287</v>
      </c>
      <c r="B185" s="2" t="s">
        <v>288</v>
      </c>
      <c r="C185" s="2" t="s">
        <v>64</v>
      </c>
      <c r="D185" s="2" t="s">
        <v>33</v>
      </c>
      <c r="E185" s="2" t="s">
        <v>40</v>
      </c>
      <c r="F185" s="2" t="s">
        <v>67</v>
      </c>
      <c r="G185" s="3">
        <v>27213</v>
      </c>
      <c r="H185" s="3">
        <v>12009</v>
      </c>
      <c r="I185" s="3">
        <v>17894</v>
      </c>
      <c r="J185" s="3">
        <v>301</v>
      </c>
      <c r="K185" s="3">
        <v>50</v>
      </c>
      <c r="L185" s="3">
        <v>92</v>
      </c>
      <c r="M185" s="3">
        <f t="shared" si="6"/>
        <v>443</v>
      </c>
      <c r="N185" s="4">
        <f t="shared" si="7"/>
        <v>3.6888999916729122E-2</v>
      </c>
      <c r="O185" s="4">
        <f t="shared" si="8"/>
        <v>0.44129643920185208</v>
      </c>
    </row>
    <row r="186" spans="1:15" x14ac:dyDescent="0.3">
      <c r="A186" s="2" t="s">
        <v>289</v>
      </c>
      <c r="B186" s="2" t="s">
        <v>288</v>
      </c>
      <c r="C186" s="2" t="s">
        <v>27</v>
      </c>
      <c r="D186" s="2" t="s">
        <v>23</v>
      </c>
      <c r="E186" s="2" t="s">
        <v>19</v>
      </c>
      <c r="F186" s="2" t="s">
        <v>67</v>
      </c>
      <c r="G186" s="3">
        <v>34029</v>
      </c>
      <c r="H186" s="3">
        <v>5931</v>
      </c>
      <c r="I186" s="3">
        <v>9027</v>
      </c>
      <c r="J186" s="3">
        <v>347</v>
      </c>
      <c r="K186" s="3">
        <v>55</v>
      </c>
      <c r="L186" s="3">
        <v>53</v>
      </c>
      <c r="M186" s="3">
        <f t="shared" si="6"/>
        <v>455</v>
      </c>
      <c r="N186" s="4">
        <f t="shared" si="7"/>
        <v>7.6715562299780812E-2</v>
      </c>
      <c r="O186" s="4">
        <f t="shared" si="8"/>
        <v>0.17429251520761704</v>
      </c>
    </row>
    <row r="187" spans="1:15" x14ac:dyDescent="0.3">
      <c r="A187" s="2" t="s">
        <v>290</v>
      </c>
      <c r="B187" s="2" t="s">
        <v>288</v>
      </c>
      <c r="C187" s="2" t="s">
        <v>17</v>
      </c>
      <c r="D187" s="2" t="s">
        <v>50</v>
      </c>
      <c r="E187" s="2" t="s">
        <v>29</v>
      </c>
      <c r="F187" s="2" t="s">
        <v>35</v>
      </c>
      <c r="G187" s="3">
        <v>11056</v>
      </c>
      <c r="H187" s="3">
        <v>1365</v>
      </c>
      <c r="I187" s="3">
        <v>2396</v>
      </c>
      <c r="J187" s="3">
        <v>81</v>
      </c>
      <c r="K187" s="3">
        <v>9</v>
      </c>
      <c r="L187" s="3">
        <v>12</v>
      </c>
      <c r="M187" s="3">
        <f t="shared" si="6"/>
        <v>102</v>
      </c>
      <c r="N187" s="4">
        <f t="shared" si="7"/>
        <v>7.4725274725274723E-2</v>
      </c>
      <c r="O187" s="4">
        <f t="shared" si="8"/>
        <v>0.12346237337192474</v>
      </c>
    </row>
    <row r="188" spans="1:15" x14ac:dyDescent="0.3">
      <c r="A188" s="2" t="s">
        <v>291</v>
      </c>
      <c r="B188" s="2" t="s">
        <v>292</v>
      </c>
      <c r="C188" s="2" t="s">
        <v>49</v>
      </c>
      <c r="D188" s="2" t="s">
        <v>18</v>
      </c>
      <c r="E188" s="2" t="s">
        <v>29</v>
      </c>
      <c r="F188" s="2" t="s">
        <v>35</v>
      </c>
      <c r="G188" s="3">
        <v>20101</v>
      </c>
      <c r="H188" s="3">
        <v>4155</v>
      </c>
      <c r="I188" s="3">
        <v>5615</v>
      </c>
      <c r="J188" s="3">
        <v>96</v>
      </c>
      <c r="K188" s="3">
        <v>13</v>
      </c>
      <c r="L188" s="3">
        <v>24</v>
      </c>
      <c r="M188" s="3">
        <f t="shared" si="6"/>
        <v>133</v>
      </c>
      <c r="N188" s="4">
        <f t="shared" si="7"/>
        <v>3.200962695547533E-2</v>
      </c>
      <c r="O188" s="4">
        <f t="shared" si="8"/>
        <v>0.20670613402318291</v>
      </c>
    </row>
    <row r="189" spans="1:15" x14ac:dyDescent="0.3">
      <c r="A189" s="2" t="s">
        <v>293</v>
      </c>
      <c r="B189" s="2" t="s">
        <v>294</v>
      </c>
      <c r="C189" s="2" t="s">
        <v>73</v>
      </c>
      <c r="D189" s="2" t="s">
        <v>33</v>
      </c>
      <c r="E189" s="2" t="s">
        <v>29</v>
      </c>
      <c r="F189" s="2" t="s">
        <v>41</v>
      </c>
      <c r="G189" s="3">
        <v>26739</v>
      </c>
      <c r="H189" s="3">
        <v>11051</v>
      </c>
      <c r="I189" s="3">
        <v>17890</v>
      </c>
      <c r="J189" s="3">
        <v>152</v>
      </c>
      <c r="K189" s="3">
        <v>22</v>
      </c>
      <c r="L189" s="3">
        <v>34</v>
      </c>
      <c r="M189" s="3">
        <f t="shared" si="6"/>
        <v>208</v>
      </c>
      <c r="N189" s="4">
        <f t="shared" si="7"/>
        <v>1.8821826079087865E-2</v>
      </c>
      <c r="O189" s="4">
        <f t="shared" si="8"/>
        <v>0.41329144695014775</v>
      </c>
    </row>
    <row r="190" spans="1:15" x14ac:dyDescent="0.3">
      <c r="A190" s="2" t="s">
        <v>295</v>
      </c>
      <c r="B190" s="2" t="s">
        <v>294</v>
      </c>
      <c r="C190" s="2" t="s">
        <v>64</v>
      </c>
      <c r="D190" s="2" t="s">
        <v>18</v>
      </c>
      <c r="E190" s="2" t="s">
        <v>29</v>
      </c>
      <c r="F190" s="2" t="s">
        <v>25</v>
      </c>
      <c r="G190" s="3">
        <v>20133</v>
      </c>
      <c r="H190" s="3">
        <v>5368</v>
      </c>
      <c r="I190" s="3">
        <v>7780</v>
      </c>
      <c r="J190" s="3">
        <v>215</v>
      </c>
      <c r="K190" s="3">
        <v>21</v>
      </c>
      <c r="L190" s="3">
        <v>50</v>
      </c>
      <c r="M190" s="3">
        <f t="shared" si="6"/>
        <v>286</v>
      </c>
      <c r="N190" s="4">
        <f t="shared" si="7"/>
        <v>5.3278688524590161E-2</v>
      </c>
      <c r="O190" s="4">
        <f t="shared" si="8"/>
        <v>0.26662693090945216</v>
      </c>
    </row>
    <row r="191" spans="1:15" x14ac:dyDescent="0.3">
      <c r="A191" s="2" t="s">
        <v>296</v>
      </c>
      <c r="B191" s="2" t="s">
        <v>294</v>
      </c>
      <c r="C191" s="2" t="s">
        <v>27</v>
      </c>
      <c r="D191" s="2" t="s">
        <v>28</v>
      </c>
      <c r="E191" s="2" t="s">
        <v>29</v>
      </c>
      <c r="F191" s="2" t="s">
        <v>20</v>
      </c>
      <c r="G191" s="3">
        <v>46014</v>
      </c>
      <c r="H191" s="3">
        <v>27850</v>
      </c>
      <c r="I191" s="3">
        <v>34223</v>
      </c>
      <c r="J191" s="3">
        <v>1467</v>
      </c>
      <c r="K191" s="3">
        <v>267</v>
      </c>
      <c r="L191" s="3">
        <v>104</v>
      </c>
      <c r="M191" s="3">
        <f t="shared" si="6"/>
        <v>1838</v>
      </c>
      <c r="N191" s="4">
        <f t="shared" si="7"/>
        <v>6.5996409335727105E-2</v>
      </c>
      <c r="O191" s="4">
        <f t="shared" si="8"/>
        <v>0.60525057591167908</v>
      </c>
    </row>
    <row r="192" spans="1:15" x14ac:dyDescent="0.3">
      <c r="A192" s="2" t="s">
        <v>297</v>
      </c>
      <c r="B192" s="2" t="s">
        <v>298</v>
      </c>
      <c r="C192" s="2" t="s">
        <v>27</v>
      </c>
      <c r="D192" s="2" t="s">
        <v>33</v>
      </c>
      <c r="E192" s="2" t="s">
        <v>46</v>
      </c>
      <c r="F192" s="2" t="s">
        <v>67</v>
      </c>
      <c r="G192" s="3">
        <v>27566</v>
      </c>
      <c r="H192" s="3">
        <v>8031</v>
      </c>
      <c r="I192" s="3">
        <v>13570</v>
      </c>
      <c r="J192" s="3">
        <v>92</v>
      </c>
      <c r="K192" s="3">
        <v>6</v>
      </c>
      <c r="L192" s="3">
        <v>24</v>
      </c>
      <c r="M192" s="3">
        <f t="shared" si="6"/>
        <v>122</v>
      </c>
      <c r="N192" s="4">
        <f t="shared" si="7"/>
        <v>1.519113435437679E-2</v>
      </c>
      <c r="O192" s="4">
        <f t="shared" si="8"/>
        <v>0.29133715446564606</v>
      </c>
    </row>
    <row r="193" spans="1:15" x14ac:dyDescent="0.3">
      <c r="A193" s="2" t="s">
        <v>299</v>
      </c>
      <c r="B193" s="2" t="s">
        <v>298</v>
      </c>
      <c r="C193" s="2" t="s">
        <v>27</v>
      </c>
      <c r="D193" s="2" t="s">
        <v>18</v>
      </c>
      <c r="E193" s="2" t="s">
        <v>46</v>
      </c>
      <c r="F193" s="2" t="s">
        <v>47</v>
      </c>
      <c r="G193" s="3">
        <v>20392</v>
      </c>
      <c r="H193" s="3">
        <v>2103</v>
      </c>
      <c r="I193" s="3">
        <v>3096</v>
      </c>
      <c r="J193" s="3">
        <v>27</v>
      </c>
      <c r="K193" s="3">
        <v>5</v>
      </c>
      <c r="L193" s="3">
        <v>10</v>
      </c>
      <c r="M193" s="3">
        <f t="shared" si="6"/>
        <v>42</v>
      </c>
      <c r="N193" s="4">
        <f t="shared" si="7"/>
        <v>1.9971469329529243E-2</v>
      </c>
      <c r="O193" s="4">
        <f t="shared" si="8"/>
        <v>0.10312867791290702</v>
      </c>
    </row>
    <row r="194" spans="1:15" x14ac:dyDescent="0.3">
      <c r="A194" s="2" t="s">
        <v>300</v>
      </c>
      <c r="B194" s="2" t="s">
        <v>298</v>
      </c>
      <c r="C194" s="2" t="s">
        <v>27</v>
      </c>
      <c r="D194" s="2" t="s">
        <v>18</v>
      </c>
      <c r="E194" s="2" t="s">
        <v>29</v>
      </c>
      <c r="F194" s="2" t="s">
        <v>67</v>
      </c>
      <c r="G194" s="3">
        <v>20265</v>
      </c>
      <c r="H194" s="3">
        <v>4854</v>
      </c>
      <c r="I194" s="3">
        <v>6802</v>
      </c>
      <c r="J194" s="3">
        <v>225</v>
      </c>
      <c r="K194" s="3">
        <v>47</v>
      </c>
      <c r="L194" s="3">
        <v>61</v>
      </c>
      <c r="M194" s="3">
        <f t="shared" ref="M194:M257" si="9">SUM(J194:L194)</f>
        <v>333</v>
      </c>
      <c r="N194" s="4">
        <f t="shared" ref="N194:N257" si="10">IFERROR(M194/H194,0)</f>
        <v>6.8603213844252164E-2</v>
      </c>
      <c r="O194" s="4">
        <f t="shared" ref="O194:O257" si="11">IFERROR(H194/G194,0)</f>
        <v>0.2395262768319763</v>
      </c>
    </row>
    <row r="195" spans="1:15" x14ac:dyDescent="0.3">
      <c r="A195" s="2" t="s">
        <v>301</v>
      </c>
      <c r="B195" s="2" t="s">
        <v>298</v>
      </c>
      <c r="C195" s="2" t="s">
        <v>73</v>
      </c>
      <c r="D195" s="2" t="s">
        <v>23</v>
      </c>
      <c r="E195" s="2" t="s">
        <v>24</v>
      </c>
      <c r="F195" s="2" t="s">
        <v>35</v>
      </c>
      <c r="G195" s="3">
        <v>34950</v>
      </c>
      <c r="H195" s="3">
        <v>4104</v>
      </c>
      <c r="I195" s="3">
        <v>5654</v>
      </c>
      <c r="J195" s="3">
        <v>64</v>
      </c>
      <c r="K195" s="3">
        <v>9</v>
      </c>
      <c r="L195" s="3">
        <v>18</v>
      </c>
      <c r="M195" s="3">
        <f t="shared" si="9"/>
        <v>91</v>
      </c>
      <c r="N195" s="4">
        <f t="shared" si="10"/>
        <v>2.2173489278752435E-2</v>
      </c>
      <c r="O195" s="4">
        <f t="shared" si="11"/>
        <v>0.11742489270386267</v>
      </c>
    </row>
    <row r="196" spans="1:15" x14ac:dyDescent="0.3">
      <c r="A196" s="2" t="s">
        <v>302</v>
      </c>
      <c r="B196" s="2" t="s">
        <v>298</v>
      </c>
      <c r="C196" s="2" t="s">
        <v>64</v>
      </c>
      <c r="D196" s="2" t="s">
        <v>50</v>
      </c>
      <c r="E196" s="2" t="s">
        <v>34</v>
      </c>
      <c r="F196" s="2" t="s">
        <v>67</v>
      </c>
      <c r="G196" s="3">
        <v>10733</v>
      </c>
      <c r="H196" s="3">
        <v>2224</v>
      </c>
      <c r="I196" s="3">
        <v>3306</v>
      </c>
      <c r="J196" s="3">
        <v>24</v>
      </c>
      <c r="K196" s="3">
        <v>2</v>
      </c>
      <c r="L196" s="3">
        <v>12</v>
      </c>
      <c r="M196" s="3">
        <f t="shared" si="9"/>
        <v>38</v>
      </c>
      <c r="N196" s="4">
        <f t="shared" si="10"/>
        <v>1.70863309352518E-2</v>
      </c>
      <c r="O196" s="4">
        <f t="shared" si="11"/>
        <v>0.20721140408087207</v>
      </c>
    </row>
    <row r="197" spans="1:15" x14ac:dyDescent="0.3">
      <c r="A197" s="2" t="s">
        <v>303</v>
      </c>
      <c r="B197" s="2" t="s">
        <v>304</v>
      </c>
      <c r="C197" s="2" t="s">
        <v>55</v>
      </c>
      <c r="D197" s="2" t="s">
        <v>18</v>
      </c>
      <c r="E197" s="2" t="s">
        <v>34</v>
      </c>
      <c r="F197" s="2" t="s">
        <v>67</v>
      </c>
      <c r="G197" s="3">
        <v>20077</v>
      </c>
      <c r="H197" s="3">
        <v>5626</v>
      </c>
      <c r="I197" s="3">
        <v>8914</v>
      </c>
      <c r="J197" s="3">
        <v>156</v>
      </c>
      <c r="K197" s="3">
        <v>32</v>
      </c>
      <c r="L197" s="3">
        <v>39</v>
      </c>
      <c r="M197" s="3">
        <f t="shared" si="9"/>
        <v>227</v>
      </c>
      <c r="N197" s="4">
        <f t="shared" si="10"/>
        <v>4.0348382509776043E-2</v>
      </c>
      <c r="O197" s="4">
        <f t="shared" si="11"/>
        <v>0.28022114857797481</v>
      </c>
    </row>
    <row r="198" spans="1:15" x14ac:dyDescent="0.3">
      <c r="A198" s="2" t="s">
        <v>305</v>
      </c>
      <c r="B198" s="2" t="s">
        <v>306</v>
      </c>
      <c r="C198" s="2" t="s">
        <v>22</v>
      </c>
      <c r="D198" s="2" t="s">
        <v>33</v>
      </c>
      <c r="E198" s="2" t="s">
        <v>29</v>
      </c>
      <c r="F198" s="2" t="s">
        <v>67</v>
      </c>
      <c r="G198" s="3">
        <v>27871</v>
      </c>
      <c r="H198" s="3">
        <v>9434</v>
      </c>
      <c r="I198" s="3">
        <v>15345</v>
      </c>
      <c r="J198" s="3">
        <v>377</v>
      </c>
      <c r="K198" s="3">
        <v>30</v>
      </c>
      <c r="L198" s="3">
        <v>125</v>
      </c>
      <c r="M198" s="3">
        <f t="shared" si="9"/>
        <v>532</v>
      </c>
      <c r="N198" s="4">
        <f t="shared" si="10"/>
        <v>5.6391774432902268E-2</v>
      </c>
      <c r="O198" s="4">
        <f t="shared" si="11"/>
        <v>0.33848803415736789</v>
      </c>
    </row>
    <row r="199" spans="1:15" x14ac:dyDescent="0.3">
      <c r="A199" s="2" t="s">
        <v>307</v>
      </c>
      <c r="B199" s="2" t="s">
        <v>308</v>
      </c>
      <c r="C199" s="2" t="s">
        <v>49</v>
      </c>
      <c r="D199" s="2" t="s">
        <v>33</v>
      </c>
      <c r="E199" s="2" t="s">
        <v>46</v>
      </c>
      <c r="F199" s="2" t="s">
        <v>20</v>
      </c>
      <c r="G199" s="3">
        <v>27729</v>
      </c>
      <c r="H199" s="3">
        <v>10151</v>
      </c>
      <c r="I199" s="3">
        <v>11723</v>
      </c>
      <c r="J199" s="3">
        <v>219</v>
      </c>
      <c r="K199" s="3">
        <v>24</v>
      </c>
      <c r="L199" s="3">
        <v>87</v>
      </c>
      <c r="M199" s="3">
        <f t="shared" si="9"/>
        <v>330</v>
      </c>
      <c r="N199" s="4">
        <f t="shared" si="10"/>
        <v>3.2509112402718941E-2</v>
      </c>
      <c r="O199" s="4">
        <f t="shared" si="11"/>
        <v>0.36607883443326483</v>
      </c>
    </row>
    <row r="200" spans="1:15" x14ac:dyDescent="0.3">
      <c r="A200" s="2" t="s">
        <v>309</v>
      </c>
      <c r="B200" s="2" t="s">
        <v>308</v>
      </c>
      <c r="C200" s="2" t="s">
        <v>43</v>
      </c>
      <c r="D200" s="2" t="s">
        <v>18</v>
      </c>
      <c r="E200" s="2" t="s">
        <v>24</v>
      </c>
      <c r="F200" s="2" t="s">
        <v>41</v>
      </c>
      <c r="G200" s="3">
        <v>20744</v>
      </c>
      <c r="H200" s="3">
        <v>3428</v>
      </c>
      <c r="I200" s="3">
        <v>5292</v>
      </c>
      <c r="J200" s="3">
        <v>93</v>
      </c>
      <c r="K200" s="3">
        <v>14</v>
      </c>
      <c r="L200" s="3">
        <v>30</v>
      </c>
      <c r="M200" s="3">
        <f t="shared" si="9"/>
        <v>137</v>
      </c>
      <c r="N200" s="4">
        <f t="shared" si="10"/>
        <v>3.9964994165694281E-2</v>
      </c>
      <c r="O200" s="4">
        <f t="shared" si="11"/>
        <v>0.16525260316236021</v>
      </c>
    </row>
    <row r="201" spans="1:15" x14ac:dyDescent="0.3">
      <c r="A201" s="2" t="s">
        <v>310</v>
      </c>
      <c r="B201" s="2" t="s">
        <v>308</v>
      </c>
      <c r="C201" s="2" t="s">
        <v>55</v>
      </c>
      <c r="D201" s="2" t="s">
        <v>23</v>
      </c>
      <c r="E201" s="2" t="s">
        <v>46</v>
      </c>
      <c r="F201" s="2" t="s">
        <v>41</v>
      </c>
      <c r="G201" s="3">
        <v>34108</v>
      </c>
      <c r="H201" s="3">
        <v>5682</v>
      </c>
      <c r="I201" s="3">
        <v>9424</v>
      </c>
      <c r="J201" s="3">
        <v>115</v>
      </c>
      <c r="K201" s="3">
        <v>20</v>
      </c>
      <c r="L201" s="3">
        <v>36</v>
      </c>
      <c r="M201" s="3">
        <f t="shared" si="9"/>
        <v>171</v>
      </c>
      <c r="N201" s="4">
        <f t="shared" si="10"/>
        <v>3.0095036958817319E-2</v>
      </c>
      <c r="O201" s="4">
        <f t="shared" si="11"/>
        <v>0.16658848364020171</v>
      </c>
    </row>
    <row r="202" spans="1:15" x14ac:dyDescent="0.3">
      <c r="A202" s="2" t="s">
        <v>311</v>
      </c>
      <c r="B202" s="2" t="s">
        <v>308</v>
      </c>
      <c r="C202" s="2" t="s">
        <v>27</v>
      </c>
      <c r="D202" s="2" t="s">
        <v>50</v>
      </c>
      <c r="E202" s="2" t="s">
        <v>29</v>
      </c>
      <c r="F202" s="2" t="s">
        <v>30</v>
      </c>
      <c r="G202" s="3">
        <v>10785</v>
      </c>
      <c r="H202" s="3">
        <v>3633</v>
      </c>
      <c r="I202" s="3">
        <v>5127</v>
      </c>
      <c r="J202" s="3">
        <v>151</v>
      </c>
      <c r="K202" s="3">
        <v>21</v>
      </c>
      <c r="L202" s="3">
        <v>57</v>
      </c>
      <c r="M202" s="3">
        <f t="shared" si="9"/>
        <v>229</v>
      </c>
      <c r="N202" s="4">
        <f t="shared" si="10"/>
        <v>6.3033305807872281E-2</v>
      </c>
      <c r="O202" s="4">
        <f t="shared" si="11"/>
        <v>0.33685674547983308</v>
      </c>
    </row>
    <row r="203" spans="1:15" x14ac:dyDescent="0.3">
      <c r="A203" s="2" t="s">
        <v>312</v>
      </c>
      <c r="B203" s="2" t="s">
        <v>313</v>
      </c>
      <c r="C203" s="2" t="s">
        <v>27</v>
      </c>
      <c r="D203" s="2" t="s">
        <v>33</v>
      </c>
      <c r="E203" s="2" t="s">
        <v>29</v>
      </c>
      <c r="F203" s="2" t="s">
        <v>30</v>
      </c>
      <c r="G203" s="3">
        <v>27561</v>
      </c>
      <c r="H203" s="3">
        <v>10798</v>
      </c>
      <c r="I203" s="3">
        <v>18406</v>
      </c>
      <c r="J203" s="3">
        <v>174</v>
      </c>
      <c r="K203" s="3">
        <v>27</v>
      </c>
      <c r="L203" s="3">
        <v>27</v>
      </c>
      <c r="M203" s="3">
        <f t="shared" si="9"/>
        <v>228</v>
      </c>
      <c r="N203" s="4">
        <f t="shared" si="10"/>
        <v>2.1115021300240785E-2</v>
      </c>
      <c r="O203" s="4">
        <f t="shared" si="11"/>
        <v>0.39178549399513807</v>
      </c>
    </row>
    <row r="204" spans="1:15" x14ac:dyDescent="0.3">
      <c r="A204" s="2" t="s">
        <v>314</v>
      </c>
      <c r="B204" s="2" t="s">
        <v>313</v>
      </c>
      <c r="C204" s="2" t="s">
        <v>52</v>
      </c>
      <c r="D204" s="2" t="s">
        <v>33</v>
      </c>
      <c r="E204" s="2" t="s">
        <v>19</v>
      </c>
      <c r="F204" s="2" t="s">
        <v>20</v>
      </c>
      <c r="G204" s="3">
        <v>27658</v>
      </c>
      <c r="H204" s="3">
        <v>6244</v>
      </c>
      <c r="I204" s="3">
        <v>8043</v>
      </c>
      <c r="J204" s="3">
        <v>159</v>
      </c>
      <c r="K204" s="3">
        <v>18</v>
      </c>
      <c r="L204" s="3">
        <v>60</v>
      </c>
      <c r="M204" s="3">
        <f t="shared" si="9"/>
        <v>237</v>
      </c>
      <c r="N204" s="4">
        <f t="shared" si="10"/>
        <v>3.7956438180653425E-2</v>
      </c>
      <c r="O204" s="4">
        <f t="shared" si="11"/>
        <v>0.22575746619422951</v>
      </c>
    </row>
    <row r="205" spans="1:15" x14ac:dyDescent="0.3">
      <c r="A205" s="2" t="s">
        <v>315</v>
      </c>
      <c r="B205" s="2" t="s">
        <v>313</v>
      </c>
      <c r="C205" s="2" t="s">
        <v>45</v>
      </c>
      <c r="D205" s="2" t="s">
        <v>18</v>
      </c>
      <c r="E205" s="2" t="s">
        <v>29</v>
      </c>
      <c r="F205" s="2" t="s">
        <v>25</v>
      </c>
      <c r="G205" s="3">
        <v>20575</v>
      </c>
      <c r="H205" s="3">
        <v>4097</v>
      </c>
      <c r="I205" s="3">
        <v>6275</v>
      </c>
      <c r="J205" s="3">
        <v>122</v>
      </c>
      <c r="K205" s="3">
        <v>16</v>
      </c>
      <c r="L205" s="3">
        <v>50</v>
      </c>
      <c r="M205" s="3">
        <f t="shared" si="9"/>
        <v>188</v>
      </c>
      <c r="N205" s="4">
        <f t="shared" si="10"/>
        <v>4.5887234561874539E-2</v>
      </c>
      <c r="O205" s="4">
        <f t="shared" si="11"/>
        <v>0.19912515188335358</v>
      </c>
    </row>
    <row r="206" spans="1:15" x14ac:dyDescent="0.3">
      <c r="A206" s="2" t="s">
        <v>316</v>
      </c>
      <c r="B206" s="2" t="s">
        <v>313</v>
      </c>
      <c r="C206" s="2" t="s">
        <v>73</v>
      </c>
      <c r="D206" s="2" t="s">
        <v>18</v>
      </c>
      <c r="E206" s="2" t="s">
        <v>40</v>
      </c>
      <c r="F206" s="2" t="s">
        <v>79</v>
      </c>
      <c r="G206" s="3">
        <v>20346</v>
      </c>
      <c r="H206" s="3">
        <v>3786</v>
      </c>
      <c r="I206" s="3">
        <v>6347</v>
      </c>
      <c r="J206" s="3">
        <v>217</v>
      </c>
      <c r="K206" s="3">
        <v>34</v>
      </c>
      <c r="L206" s="3">
        <v>62</v>
      </c>
      <c r="M206" s="3">
        <f t="shared" si="9"/>
        <v>313</v>
      </c>
      <c r="N206" s="4">
        <f t="shared" si="10"/>
        <v>8.2673005810882202E-2</v>
      </c>
      <c r="O206" s="4">
        <f t="shared" si="11"/>
        <v>0.18608080212326747</v>
      </c>
    </row>
    <row r="207" spans="1:15" x14ac:dyDescent="0.3">
      <c r="A207" s="2" t="s">
        <v>317</v>
      </c>
      <c r="B207" s="2" t="s">
        <v>313</v>
      </c>
      <c r="C207" s="2" t="s">
        <v>43</v>
      </c>
      <c r="D207" s="2" t="s">
        <v>23</v>
      </c>
      <c r="E207" s="2" t="s">
        <v>40</v>
      </c>
      <c r="F207" s="2" t="s">
        <v>79</v>
      </c>
      <c r="G207" s="3">
        <v>34448</v>
      </c>
      <c r="H207" s="3">
        <v>6107</v>
      </c>
      <c r="I207" s="3">
        <v>8816</v>
      </c>
      <c r="J207" s="3">
        <v>310</v>
      </c>
      <c r="K207" s="3">
        <v>57</v>
      </c>
      <c r="L207" s="3">
        <v>72</v>
      </c>
      <c r="M207" s="3">
        <f t="shared" si="9"/>
        <v>439</v>
      </c>
      <c r="N207" s="4">
        <f t="shared" si="10"/>
        <v>7.1884722449647942E-2</v>
      </c>
      <c r="O207" s="4">
        <f t="shared" si="11"/>
        <v>0.17728169995355317</v>
      </c>
    </row>
    <row r="208" spans="1:15" x14ac:dyDescent="0.3">
      <c r="A208" s="2" t="s">
        <v>318</v>
      </c>
      <c r="B208" s="2" t="s">
        <v>313</v>
      </c>
      <c r="C208" s="2" t="s">
        <v>73</v>
      </c>
      <c r="D208" s="2" t="s">
        <v>50</v>
      </c>
      <c r="E208" s="2" t="s">
        <v>19</v>
      </c>
      <c r="F208" s="2" t="s">
        <v>20</v>
      </c>
      <c r="G208" s="3">
        <v>11061</v>
      </c>
      <c r="H208" s="3">
        <v>2726</v>
      </c>
      <c r="I208" s="3">
        <v>4817</v>
      </c>
      <c r="J208" s="3">
        <v>108</v>
      </c>
      <c r="K208" s="3">
        <v>11</v>
      </c>
      <c r="L208" s="3">
        <v>32</v>
      </c>
      <c r="M208" s="3">
        <f t="shared" si="9"/>
        <v>151</v>
      </c>
      <c r="N208" s="4">
        <f t="shared" si="10"/>
        <v>5.5392516507703597E-2</v>
      </c>
      <c r="O208" s="4">
        <f t="shared" si="11"/>
        <v>0.24645149624807883</v>
      </c>
    </row>
    <row r="209" spans="1:15" x14ac:dyDescent="0.3">
      <c r="A209" s="2" t="s">
        <v>319</v>
      </c>
      <c r="B209" s="2" t="s">
        <v>313</v>
      </c>
      <c r="C209" s="2" t="s">
        <v>45</v>
      </c>
      <c r="D209" s="2" t="s">
        <v>28</v>
      </c>
      <c r="E209" s="2" t="s">
        <v>40</v>
      </c>
      <c r="F209" s="2" t="s">
        <v>47</v>
      </c>
      <c r="G209" s="3">
        <v>46385</v>
      </c>
      <c r="H209" s="3">
        <v>20726</v>
      </c>
      <c r="I209" s="3">
        <v>26464</v>
      </c>
      <c r="J209" s="3">
        <v>582</v>
      </c>
      <c r="K209" s="3">
        <v>78</v>
      </c>
      <c r="L209" s="3">
        <v>165</v>
      </c>
      <c r="M209" s="3">
        <f t="shared" si="9"/>
        <v>825</v>
      </c>
      <c r="N209" s="4">
        <f t="shared" si="10"/>
        <v>3.9805075750265366E-2</v>
      </c>
      <c r="O209" s="4">
        <f t="shared" si="11"/>
        <v>0.44682548237576802</v>
      </c>
    </row>
    <row r="210" spans="1:15" x14ac:dyDescent="0.3">
      <c r="A210" s="2" t="s">
        <v>320</v>
      </c>
      <c r="B210" s="2" t="s">
        <v>321</v>
      </c>
      <c r="C210" s="2" t="s">
        <v>49</v>
      </c>
      <c r="D210" s="2" t="s">
        <v>33</v>
      </c>
      <c r="E210" s="2" t="s">
        <v>24</v>
      </c>
      <c r="F210" s="2" t="s">
        <v>41</v>
      </c>
      <c r="G210" s="3">
        <v>27546</v>
      </c>
      <c r="H210" s="3">
        <v>10839</v>
      </c>
      <c r="I210" s="3">
        <v>14650</v>
      </c>
      <c r="J210" s="3">
        <v>306</v>
      </c>
      <c r="K210" s="3">
        <v>47</v>
      </c>
      <c r="L210" s="3">
        <v>66</v>
      </c>
      <c r="M210" s="3">
        <f t="shared" si="9"/>
        <v>419</v>
      </c>
      <c r="N210" s="4">
        <f t="shared" si="10"/>
        <v>3.8656702647845743E-2</v>
      </c>
      <c r="O210" s="4">
        <f t="shared" si="11"/>
        <v>0.3934872576780658</v>
      </c>
    </row>
    <row r="211" spans="1:15" x14ac:dyDescent="0.3">
      <c r="A211" s="2" t="s">
        <v>322</v>
      </c>
      <c r="B211" s="2" t="s">
        <v>321</v>
      </c>
      <c r="C211" s="2" t="s">
        <v>83</v>
      </c>
      <c r="D211" s="2" t="s">
        <v>18</v>
      </c>
      <c r="E211" s="2" t="s">
        <v>46</v>
      </c>
      <c r="F211" s="2" t="s">
        <v>79</v>
      </c>
      <c r="G211" s="3">
        <v>20155</v>
      </c>
      <c r="H211" s="3">
        <v>4485</v>
      </c>
      <c r="I211" s="3">
        <v>6701</v>
      </c>
      <c r="J211" s="3">
        <v>88</v>
      </c>
      <c r="K211" s="3">
        <v>17</v>
      </c>
      <c r="L211" s="3">
        <v>13</v>
      </c>
      <c r="M211" s="3">
        <f t="shared" si="9"/>
        <v>118</v>
      </c>
      <c r="N211" s="4">
        <f t="shared" si="10"/>
        <v>2.6309921962095875E-2</v>
      </c>
      <c r="O211" s="4">
        <f t="shared" si="11"/>
        <v>0.22252542793351526</v>
      </c>
    </row>
    <row r="212" spans="1:15" x14ac:dyDescent="0.3">
      <c r="A212" s="2" t="s">
        <v>323</v>
      </c>
      <c r="B212" s="2" t="s">
        <v>321</v>
      </c>
      <c r="C212" s="2" t="s">
        <v>55</v>
      </c>
      <c r="D212" s="2" t="s">
        <v>50</v>
      </c>
      <c r="E212" s="2" t="s">
        <v>29</v>
      </c>
      <c r="F212" s="2" t="s">
        <v>25</v>
      </c>
      <c r="G212" s="3">
        <v>11004</v>
      </c>
      <c r="H212" s="3">
        <v>2633</v>
      </c>
      <c r="I212" s="3">
        <v>3966</v>
      </c>
      <c r="J212" s="3">
        <v>92</v>
      </c>
      <c r="K212" s="3">
        <v>11</v>
      </c>
      <c r="L212" s="3">
        <v>26</v>
      </c>
      <c r="M212" s="3">
        <f t="shared" si="9"/>
        <v>129</v>
      </c>
      <c r="N212" s="4">
        <f t="shared" si="10"/>
        <v>4.8993543486517278E-2</v>
      </c>
      <c r="O212" s="4">
        <f t="shared" si="11"/>
        <v>0.23927662668120683</v>
      </c>
    </row>
    <row r="213" spans="1:15" x14ac:dyDescent="0.3">
      <c r="A213" s="2" t="s">
        <v>324</v>
      </c>
      <c r="B213" s="2" t="s">
        <v>321</v>
      </c>
      <c r="C213" s="2" t="s">
        <v>73</v>
      </c>
      <c r="D213" s="2" t="s">
        <v>50</v>
      </c>
      <c r="E213" s="2" t="s">
        <v>24</v>
      </c>
      <c r="F213" s="2" t="s">
        <v>20</v>
      </c>
      <c r="G213" s="3">
        <v>10931</v>
      </c>
      <c r="H213" s="3">
        <v>1373</v>
      </c>
      <c r="I213" s="3">
        <v>1610</v>
      </c>
      <c r="J213" s="3">
        <v>25</v>
      </c>
      <c r="K213" s="3">
        <v>1</v>
      </c>
      <c r="L213" s="3">
        <v>6</v>
      </c>
      <c r="M213" s="3">
        <f t="shared" si="9"/>
        <v>32</v>
      </c>
      <c r="N213" s="4">
        <f t="shared" si="10"/>
        <v>2.3306627822286964E-2</v>
      </c>
      <c r="O213" s="4">
        <f t="shared" si="11"/>
        <v>0.12560607446711189</v>
      </c>
    </row>
    <row r="214" spans="1:15" x14ac:dyDescent="0.3">
      <c r="A214" s="2" t="s">
        <v>325</v>
      </c>
      <c r="B214" s="2" t="s">
        <v>321</v>
      </c>
      <c r="C214" s="2" t="s">
        <v>39</v>
      </c>
      <c r="D214" s="2" t="s">
        <v>28</v>
      </c>
      <c r="E214" s="2" t="s">
        <v>40</v>
      </c>
      <c r="F214" s="2" t="s">
        <v>25</v>
      </c>
      <c r="G214" s="3">
        <v>47180</v>
      </c>
      <c r="H214" s="3">
        <v>22476</v>
      </c>
      <c r="I214" s="3">
        <v>26259</v>
      </c>
      <c r="J214" s="3">
        <v>1225</v>
      </c>
      <c r="K214" s="3">
        <v>96</v>
      </c>
      <c r="L214" s="3">
        <v>386</v>
      </c>
      <c r="M214" s="3">
        <f t="shared" si="9"/>
        <v>1707</v>
      </c>
      <c r="N214" s="4">
        <f t="shared" si="10"/>
        <v>7.5947677522690868E-2</v>
      </c>
      <c r="O214" s="4">
        <f t="shared" si="11"/>
        <v>0.47638830012717254</v>
      </c>
    </row>
    <row r="215" spans="1:15" x14ac:dyDescent="0.3">
      <c r="A215" s="2" t="s">
        <v>326</v>
      </c>
      <c r="B215" s="2" t="s">
        <v>327</v>
      </c>
      <c r="C215" s="2" t="s">
        <v>27</v>
      </c>
      <c r="D215" s="2" t="s">
        <v>18</v>
      </c>
      <c r="E215" s="2" t="s">
        <v>46</v>
      </c>
      <c r="F215" s="2" t="s">
        <v>30</v>
      </c>
      <c r="G215" s="3">
        <v>20605</v>
      </c>
      <c r="H215" s="3">
        <v>2737</v>
      </c>
      <c r="I215" s="3">
        <v>4895</v>
      </c>
      <c r="J215" s="3">
        <v>28</v>
      </c>
      <c r="K215" s="3">
        <v>2</v>
      </c>
      <c r="L215" s="3">
        <v>12</v>
      </c>
      <c r="M215" s="3">
        <f t="shared" si="9"/>
        <v>42</v>
      </c>
      <c r="N215" s="4">
        <f t="shared" si="10"/>
        <v>1.5345268542199489E-2</v>
      </c>
      <c r="O215" s="4">
        <f t="shared" si="11"/>
        <v>0.1328318369327833</v>
      </c>
    </row>
    <row r="216" spans="1:15" x14ac:dyDescent="0.3">
      <c r="A216" s="2" t="s">
        <v>328</v>
      </c>
      <c r="B216" s="2" t="s">
        <v>327</v>
      </c>
      <c r="C216" s="2" t="s">
        <v>43</v>
      </c>
      <c r="D216" s="2" t="s">
        <v>23</v>
      </c>
      <c r="E216" s="2" t="s">
        <v>40</v>
      </c>
      <c r="F216" s="2" t="s">
        <v>20</v>
      </c>
      <c r="G216" s="3">
        <v>34413</v>
      </c>
      <c r="H216" s="3">
        <v>5919</v>
      </c>
      <c r="I216" s="3">
        <v>8149</v>
      </c>
      <c r="J216" s="3">
        <v>356</v>
      </c>
      <c r="K216" s="3">
        <v>43</v>
      </c>
      <c r="L216" s="3">
        <v>57</v>
      </c>
      <c r="M216" s="3">
        <f t="shared" si="9"/>
        <v>456</v>
      </c>
      <c r="N216" s="4">
        <f t="shared" si="10"/>
        <v>7.7040040547389763E-2</v>
      </c>
      <c r="O216" s="4">
        <f t="shared" si="11"/>
        <v>0.17199895388370673</v>
      </c>
    </row>
    <row r="217" spans="1:15" x14ac:dyDescent="0.3">
      <c r="A217" s="2" t="s">
        <v>329</v>
      </c>
      <c r="B217" s="2" t="s">
        <v>327</v>
      </c>
      <c r="C217" s="2" t="s">
        <v>83</v>
      </c>
      <c r="D217" s="2" t="s">
        <v>50</v>
      </c>
      <c r="E217" s="2" t="s">
        <v>19</v>
      </c>
      <c r="F217" s="2" t="s">
        <v>35</v>
      </c>
      <c r="G217" s="3">
        <v>11128</v>
      </c>
      <c r="H217" s="3">
        <v>3405</v>
      </c>
      <c r="I217" s="3">
        <v>3894</v>
      </c>
      <c r="J217" s="3">
        <v>67</v>
      </c>
      <c r="K217" s="3">
        <v>5</v>
      </c>
      <c r="L217" s="3">
        <v>14</v>
      </c>
      <c r="M217" s="3">
        <f t="shared" si="9"/>
        <v>86</v>
      </c>
      <c r="N217" s="4">
        <f t="shared" si="10"/>
        <v>2.5256975036710719E-2</v>
      </c>
      <c r="O217" s="4">
        <f t="shared" si="11"/>
        <v>0.30598490294751979</v>
      </c>
    </row>
    <row r="218" spans="1:15" x14ac:dyDescent="0.3">
      <c r="A218" s="2" t="s">
        <v>330</v>
      </c>
      <c r="B218" s="2" t="s">
        <v>327</v>
      </c>
      <c r="C218" s="2" t="s">
        <v>64</v>
      </c>
      <c r="D218" s="2" t="s">
        <v>28</v>
      </c>
      <c r="E218" s="2" t="s">
        <v>46</v>
      </c>
      <c r="F218" s="2" t="s">
        <v>47</v>
      </c>
      <c r="G218" s="3">
        <v>47268</v>
      </c>
      <c r="H218" s="3">
        <v>31453</v>
      </c>
      <c r="I218" s="3">
        <v>47741</v>
      </c>
      <c r="J218" s="3">
        <v>591</v>
      </c>
      <c r="K218" s="3">
        <v>68</v>
      </c>
      <c r="L218" s="3">
        <v>143</v>
      </c>
      <c r="M218" s="3">
        <f t="shared" si="9"/>
        <v>802</v>
      </c>
      <c r="N218" s="4">
        <f t="shared" si="10"/>
        <v>2.5498362636314501E-2</v>
      </c>
      <c r="O218" s="4">
        <f t="shared" si="11"/>
        <v>0.66541846492341539</v>
      </c>
    </row>
    <row r="219" spans="1:15" x14ac:dyDescent="0.3">
      <c r="A219" s="2" t="s">
        <v>331</v>
      </c>
      <c r="B219" s="2" t="s">
        <v>327</v>
      </c>
      <c r="C219" s="2" t="s">
        <v>49</v>
      </c>
      <c r="D219" s="2" t="s">
        <v>28</v>
      </c>
      <c r="E219" s="2" t="s">
        <v>24</v>
      </c>
      <c r="F219" s="2" t="s">
        <v>20</v>
      </c>
      <c r="G219" s="3">
        <v>47808</v>
      </c>
      <c r="H219" s="3">
        <v>33890</v>
      </c>
      <c r="I219" s="3">
        <v>44335</v>
      </c>
      <c r="J219" s="3">
        <v>670</v>
      </c>
      <c r="K219" s="3">
        <v>64</v>
      </c>
      <c r="L219" s="3">
        <v>277</v>
      </c>
      <c r="M219" s="3">
        <f t="shared" si="9"/>
        <v>1011</v>
      </c>
      <c r="N219" s="4">
        <f t="shared" si="10"/>
        <v>2.9831808793154321E-2</v>
      </c>
      <c r="O219" s="4">
        <f t="shared" si="11"/>
        <v>0.70887717536813921</v>
      </c>
    </row>
    <row r="220" spans="1:15" x14ac:dyDescent="0.3">
      <c r="A220" s="2" t="s">
        <v>332</v>
      </c>
      <c r="B220" s="2" t="s">
        <v>333</v>
      </c>
      <c r="C220" s="2" t="s">
        <v>73</v>
      </c>
      <c r="D220" s="2" t="s">
        <v>33</v>
      </c>
      <c r="E220" s="2" t="s">
        <v>29</v>
      </c>
      <c r="F220" s="2" t="s">
        <v>20</v>
      </c>
      <c r="G220" s="3">
        <v>27598</v>
      </c>
      <c r="H220" s="3">
        <v>8084</v>
      </c>
      <c r="I220" s="3">
        <v>9672</v>
      </c>
      <c r="J220" s="3">
        <v>212</v>
      </c>
      <c r="K220" s="3">
        <v>35</v>
      </c>
      <c r="L220" s="3">
        <v>66</v>
      </c>
      <c r="M220" s="3">
        <f t="shared" si="9"/>
        <v>313</v>
      </c>
      <c r="N220" s="4">
        <f t="shared" si="10"/>
        <v>3.8718456209797129E-2</v>
      </c>
      <c r="O220" s="4">
        <f t="shared" si="11"/>
        <v>0.29291977679541997</v>
      </c>
    </row>
    <row r="221" spans="1:15" x14ac:dyDescent="0.3">
      <c r="A221" s="2" t="s">
        <v>334</v>
      </c>
      <c r="B221" s="2" t="s">
        <v>333</v>
      </c>
      <c r="C221" s="2" t="s">
        <v>83</v>
      </c>
      <c r="D221" s="2" t="s">
        <v>33</v>
      </c>
      <c r="E221" s="2" t="s">
        <v>46</v>
      </c>
      <c r="F221" s="2" t="s">
        <v>20</v>
      </c>
      <c r="G221" s="3">
        <v>27647</v>
      </c>
      <c r="H221" s="3">
        <v>8631</v>
      </c>
      <c r="I221" s="3">
        <v>10341</v>
      </c>
      <c r="J221" s="3">
        <v>107</v>
      </c>
      <c r="K221" s="3">
        <v>8</v>
      </c>
      <c r="L221" s="3">
        <v>35</v>
      </c>
      <c r="M221" s="3">
        <f t="shared" si="9"/>
        <v>150</v>
      </c>
      <c r="N221" s="4">
        <f t="shared" si="10"/>
        <v>1.737921445950643E-2</v>
      </c>
      <c r="O221" s="4">
        <f t="shared" si="11"/>
        <v>0.31218577060802255</v>
      </c>
    </row>
    <row r="222" spans="1:15" x14ac:dyDescent="0.3">
      <c r="A222" s="2" t="s">
        <v>335</v>
      </c>
      <c r="B222" s="2" t="s">
        <v>333</v>
      </c>
      <c r="C222" s="2" t="s">
        <v>17</v>
      </c>
      <c r="D222" s="2" t="s">
        <v>23</v>
      </c>
      <c r="E222" s="2" t="s">
        <v>40</v>
      </c>
      <c r="F222" s="2" t="s">
        <v>47</v>
      </c>
      <c r="G222" s="3">
        <v>34779</v>
      </c>
      <c r="H222" s="3">
        <v>5176</v>
      </c>
      <c r="I222" s="3">
        <v>8266</v>
      </c>
      <c r="J222" s="3">
        <v>195</v>
      </c>
      <c r="K222" s="3">
        <v>30</v>
      </c>
      <c r="L222" s="3">
        <v>64</v>
      </c>
      <c r="M222" s="3">
        <f t="shared" si="9"/>
        <v>289</v>
      </c>
      <c r="N222" s="4">
        <f t="shared" si="10"/>
        <v>5.5834621329211749E-2</v>
      </c>
      <c r="O222" s="4">
        <f t="shared" si="11"/>
        <v>0.14882544063946634</v>
      </c>
    </row>
    <row r="223" spans="1:15" x14ac:dyDescent="0.3">
      <c r="A223" s="2" t="s">
        <v>336</v>
      </c>
      <c r="B223" s="2" t="s">
        <v>333</v>
      </c>
      <c r="C223" s="2" t="s">
        <v>49</v>
      </c>
      <c r="D223" s="2" t="s">
        <v>50</v>
      </c>
      <c r="E223" s="2" t="s">
        <v>24</v>
      </c>
      <c r="F223" s="2" t="s">
        <v>35</v>
      </c>
      <c r="G223" s="3">
        <v>10888</v>
      </c>
      <c r="H223" s="3">
        <v>2451</v>
      </c>
      <c r="I223" s="3">
        <v>3970</v>
      </c>
      <c r="J223" s="3">
        <v>61</v>
      </c>
      <c r="K223" s="3">
        <v>5</v>
      </c>
      <c r="L223" s="3">
        <v>18</v>
      </c>
      <c r="M223" s="3">
        <f t="shared" si="9"/>
        <v>84</v>
      </c>
      <c r="N223" s="4">
        <f t="shared" si="10"/>
        <v>3.4271725826193387E-2</v>
      </c>
      <c r="O223" s="4">
        <f t="shared" si="11"/>
        <v>0.22511021307861867</v>
      </c>
    </row>
    <row r="224" spans="1:15" x14ac:dyDescent="0.3">
      <c r="A224" s="2" t="s">
        <v>337</v>
      </c>
      <c r="B224" s="2" t="s">
        <v>333</v>
      </c>
      <c r="C224" s="2" t="s">
        <v>17</v>
      </c>
      <c r="D224" s="2" t="s">
        <v>28</v>
      </c>
      <c r="E224" s="2" t="s">
        <v>29</v>
      </c>
      <c r="F224" s="2" t="s">
        <v>67</v>
      </c>
      <c r="G224" s="3">
        <v>47783</v>
      </c>
      <c r="H224" s="3">
        <v>25654</v>
      </c>
      <c r="I224" s="3">
        <v>32143</v>
      </c>
      <c r="J224" s="3">
        <v>798</v>
      </c>
      <c r="K224" s="3">
        <v>121</v>
      </c>
      <c r="L224" s="3">
        <v>131</v>
      </c>
      <c r="M224" s="3">
        <f t="shared" si="9"/>
        <v>1050</v>
      </c>
      <c r="N224" s="4">
        <f t="shared" si="10"/>
        <v>4.0929289779371637E-2</v>
      </c>
      <c r="O224" s="4">
        <f t="shared" si="11"/>
        <v>0.53688550321243955</v>
      </c>
    </row>
    <row r="225" spans="1:15" x14ac:dyDescent="0.3">
      <c r="A225" s="2" t="s">
        <v>338</v>
      </c>
      <c r="B225" s="2" t="s">
        <v>339</v>
      </c>
      <c r="C225" s="2" t="s">
        <v>73</v>
      </c>
      <c r="D225" s="2" t="s">
        <v>33</v>
      </c>
      <c r="E225" s="2" t="s">
        <v>40</v>
      </c>
      <c r="F225" s="2" t="s">
        <v>35</v>
      </c>
      <c r="G225" s="3">
        <v>27463</v>
      </c>
      <c r="H225" s="3">
        <v>10999</v>
      </c>
      <c r="I225" s="3">
        <v>15479</v>
      </c>
      <c r="J225" s="3">
        <v>805</v>
      </c>
      <c r="K225" s="3">
        <v>77</v>
      </c>
      <c r="L225" s="3">
        <v>169</v>
      </c>
      <c r="M225" s="3">
        <f t="shared" si="9"/>
        <v>1051</v>
      </c>
      <c r="N225" s="4">
        <f t="shared" si="10"/>
        <v>9.5554141285571409E-2</v>
      </c>
      <c r="O225" s="4">
        <f t="shared" si="11"/>
        <v>0.40050249426501111</v>
      </c>
    </row>
    <row r="226" spans="1:15" x14ac:dyDescent="0.3">
      <c r="A226" s="2" t="s">
        <v>340</v>
      </c>
      <c r="B226" s="2" t="s">
        <v>339</v>
      </c>
      <c r="C226" s="2" t="s">
        <v>52</v>
      </c>
      <c r="D226" s="2" t="s">
        <v>23</v>
      </c>
      <c r="E226" s="2" t="s">
        <v>46</v>
      </c>
      <c r="F226" s="2" t="s">
        <v>41</v>
      </c>
      <c r="G226" s="3">
        <v>34494</v>
      </c>
      <c r="H226" s="3">
        <v>3431</v>
      </c>
      <c r="I226" s="3">
        <v>4270</v>
      </c>
      <c r="J226" s="3">
        <v>32</v>
      </c>
      <c r="K226" s="3">
        <v>4</v>
      </c>
      <c r="L226" s="3">
        <v>14</v>
      </c>
      <c r="M226" s="3">
        <f t="shared" si="9"/>
        <v>50</v>
      </c>
      <c r="N226" s="4">
        <f t="shared" si="10"/>
        <v>1.4573010784027981E-2</v>
      </c>
      <c r="O226" s="4">
        <f t="shared" si="11"/>
        <v>9.9466573896909605E-2</v>
      </c>
    </row>
    <row r="227" spans="1:15" x14ac:dyDescent="0.3">
      <c r="A227" s="2" t="s">
        <v>341</v>
      </c>
      <c r="B227" s="2" t="s">
        <v>339</v>
      </c>
      <c r="C227" s="2" t="s">
        <v>43</v>
      </c>
      <c r="D227" s="2" t="s">
        <v>28</v>
      </c>
      <c r="E227" s="2" t="s">
        <v>29</v>
      </c>
      <c r="F227" s="2" t="s">
        <v>35</v>
      </c>
      <c r="G227" s="3">
        <v>47505</v>
      </c>
      <c r="H227" s="3">
        <v>41284</v>
      </c>
      <c r="I227" s="3">
        <v>60278</v>
      </c>
      <c r="J227" s="3">
        <v>2122</v>
      </c>
      <c r="K227" s="3">
        <v>174</v>
      </c>
      <c r="L227" s="3">
        <v>453</v>
      </c>
      <c r="M227" s="3">
        <f t="shared" si="9"/>
        <v>2749</v>
      </c>
      <c r="N227" s="4">
        <f t="shared" si="10"/>
        <v>6.6587539967057449E-2</v>
      </c>
      <c r="O227" s="4">
        <f t="shared" si="11"/>
        <v>0.86904536364593199</v>
      </c>
    </row>
    <row r="228" spans="1:15" x14ac:dyDescent="0.3">
      <c r="A228" s="2" t="s">
        <v>342</v>
      </c>
      <c r="B228" s="2" t="s">
        <v>343</v>
      </c>
      <c r="C228" s="2" t="s">
        <v>52</v>
      </c>
      <c r="D228" s="2" t="s">
        <v>50</v>
      </c>
      <c r="E228" s="2" t="s">
        <v>19</v>
      </c>
      <c r="F228" s="2" t="s">
        <v>20</v>
      </c>
      <c r="G228" s="3">
        <v>11163</v>
      </c>
      <c r="H228" s="3">
        <v>3466</v>
      </c>
      <c r="I228" s="3">
        <v>5660</v>
      </c>
      <c r="J228" s="3">
        <v>147</v>
      </c>
      <c r="K228" s="3">
        <v>21</v>
      </c>
      <c r="L228" s="3">
        <v>36</v>
      </c>
      <c r="M228" s="3">
        <f t="shared" si="9"/>
        <v>204</v>
      </c>
      <c r="N228" s="4">
        <f t="shared" si="10"/>
        <v>5.8857472590882864E-2</v>
      </c>
      <c r="O228" s="4">
        <f t="shared" si="11"/>
        <v>0.31049001164561496</v>
      </c>
    </row>
    <row r="229" spans="1:15" x14ac:dyDescent="0.3">
      <c r="A229" s="2" t="s">
        <v>344</v>
      </c>
      <c r="B229" s="2" t="s">
        <v>345</v>
      </c>
      <c r="C229" s="2" t="s">
        <v>73</v>
      </c>
      <c r="D229" s="2" t="s">
        <v>33</v>
      </c>
      <c r="E229" s="2" t="s">
        <v>34</v>
      </c>
      <c r="F229" s="2" t="s">
        <v>41</v>
      </c>
      <c r="G229" s="3">
        <v>27736</v>
      </c>
      <c r="H229" s="3">
        <v>7076</v>
      </c>
      <c r="I229" s="3">
        <v>12421</v>
      </c>
      <c r="J229" s="3">
        <v>193</v>
      </c>
      <c r="K229" s="3">
        <v>13</v>
      </c>
      <c r="L229" s="3">
        <v>71</v>
      </c>
      <c r="M229" s="3">
        <f t="shared" si="9"/>
        <v>277</v>
      </c>
      <c r="N229" s="4">
        <f t="shared" si="10"/>
        <v>3.9146410401356697E-2</v>
      </c>
      <c r="O229" s="4">
        <f t="shared" si="11"/>
        <v>0.25511970002884338</v>
      </c>
    </row>
    <row r="230" spans="1:15" x14ac:dyDescent="0.3">
      <c r="A230" s="2" t="s">
        <v>346</v>
      </c>
      <c r="B230" s="2" t="s">
        <v>345</v>
      </c>
      <c r="C230" s="2" t="s">
        <v>64</v>
      </c>
      <c r="D230" s="2" t="s">
        <v>33</v>
      </c>
      <c r="E230" s="2" t="s">
        <v>34</v>
      </c>
      <c r="F230" s="2" t="s">
        <v>47</v>
      </c>
      <c r="G230" s="3">
        <v>27868</v>
      </c>
      <c r="H230" s="3">
        <v>10262</v>
      </c>
      <c r="I230" s="3">
        <v>17394</v>
      </c>
      <c r="J230" s="3">
        <v>467</v>
      </c>
      <c r="K230" s="3">
        <v>77</v>
      </c>
      <c r="L230" s="3">
        <v>44</v>
      </c>
      <c r="M230" s="3">
        <f t="shared" si="9"/>
        <v>588</v>
      </c>
      <c r="N230" s="4">
        <f t="shared" si="10"/>
        <v>5.7298772169167803E-2</v>
      </c>
      <c r="O230" s="4">
        <f t="shared" si="11"/>
        <v>0.36823596957083393</v>
      </c>
    </row>
    <row r="231" spans="1:15" x14ac:dyDescent="0.3">
      <c r="A231" s="2" t="s">
        <v>347</v>
      </c>
      <c r="B231" s="2" t="s">
        <v>345</v>
      </c>
      <c r="C231" s="2" t="s">
        <v>64</v>
      </c>
      <c r="D231" s="2" t="s">
        <v>18</v>
      </c>
      <c r="E231" s="2" t="s">
        <v>29</v>
      </c>
      <c r="F231" s="2" t="s">
        <v>20</v>
      </c>
      <c r="G231" s="3">
        <v>20645</v>
      </c>
      <c r="H231" s="3">
        <v>4068</v>
      </c>
      <c r="I231" s="3">
        <v>5453</v>
      </c>
      <c r="J231" s="3">
        <v>156</v>
      </c>
      <c r="K231" s="3">
        <v>30</v>
      </c>
      <c r="L231" s="3">
        <v>50</v>
      </c>
      <c r="M231" s="3">
        <f t="shared" si="9"/>
        <v>236</v>
      </c>
      <c r="N231" s="4">
        <f t="shared" si="10"/>
        <v>5.801376597836775E-2</v>
      </c>
      <c r="O231" s="4">
        <f t="shared" si="11"/>
        <v>0.19704528941632357</v>
      </c>
    </row>
    <row r="232" spans="1:15" x14ac:dyDescent="0.3">
      <c r="A232" s="2" t="s">
        <v>348</v>
      </c>
      <c r="B232" s="2" t="s">
        <v>345</v>
      </c>
      <c r="C232" s="2" t="s">
        <v>52</v>
      </c>
      <c r="D232" s="2" t="s">
        <v>23</v>
      </c>
      <c r="E232" s="2" t="s">
        <v>19</v>
      </c>
      <c r="F232" s="2" t="s">
        <v>47</v>
      </c>
      <c r="G232" s="3">
        <v>35012</v>
      </c>
      <c r="H232" s="3">
        <v>7662</v>
      </c>
      <c r="I232" s="3">
        <v>10722</v>
      </c>
      <c r="J232" s="3">
        <v>573</v>
      </c>
      <c r="K232" s="3">
        <v>58</v>
      </c>
      <c r="L232" s="3">
        <v>102</v>
      </c>
      <c r="M232" s="3">
        <f t="shared" si="9"/>
        <v>733</v>
      </c>
      <c r="N232" s="4">
        <f t="shared" si="10"/>
        <v>9.5666927695118767E-2</v>
      </c>
      <c r="O232" s="4">
        <f t="shared" si="11"/>
        <v>0.21883925511253285</v>
      </c>
    </row>
    <row r="233" spans="1:15" x14ac:dyDescent="0.3">
      <c r="A233" s="2" t="s">
        <v>349</v>
      </c>
      <c r="B233" s="2" t="s">
        <v>345</v>
      </c>
      <c r="C233" s="2" t="s">
        <v>49</v>
      </c>
      <c r="D233" s="2" t="s">
        <v>50</v>
      </c>
      <c r="E233" s="2" t="s">
        <v>34</v>
      </c>
      <c r="F233" s="2" t="s">
        <v>79</v>
      </c>
      <c r="G233" s="3">
        <v>11160</v>
      </c>
      <c r="H233" s="3">
        <v>3004</v>
      </c>
      <c r="I233" s="3">
        <v>3413</v>
      </c>
      <c r="J233" s="3">
        <v>117</v>
      </c>
      <c r="K233" s="3">
        <v>14</v>
      </c>
      <c r="L233" s="3">
        <v>23</v>
      </c>
      <c r="M233" s="3">
        <f t="shared" si="9"/>
        <v>154</v>
      </c>
      <c r="N233" s="4">
        <f t="shared" si="10"/>
        <v>5.1264980026631157E-2</v>
      </c>
      <c r="O233" s="4">
        <f t="shared" si="11"/>
        <v>0.26917562724014338</v>
      </c>
    </row>
    <row r="234" spans="1:15" x14ac:dyDescent="0.3">
      <c r="A234" s="2" t="s">
        <v>350</v>
      </c>
      <c r="B234" s="2" t="s">
        <v>351</v>
      </c>
      <c r="C234" s="2" t="s">
        <v>64</v>
      </c>
      <c r="D234" s="2" t="s">
        <v>33</v>
      </c>
      <c r="E234" s="2" t="s">
        <v>19</v>
      </c>
      <c r="F234" s="2" t="s">
        <v>25</v>
      </c>
      <c r="G234" s="3">
        <v>27784</v>
      </c>
      <c r="H234" s="3">
        <v>8339</v>
      </c>
      <c r="I234" s="3">
        <v>9219</v>
      </c>
      <c r="J234" s="3">
        <v>275</v>
      </c>
      <c r="K234" s="3">
        <v>42</v>
      </c>
      <c r="L234" s="3">
        <v>37</v>
      </c>
      <c r="M234" s="3">
        <f t="shared" si="9"/>
        <v>354</v>
      </c>
      <c r="N234" s="4">
        <f t="shared" si="10"/>
        <v>4.2451133229404005E-2</v>
      </c>
      <c r="O234" s="4">
        <f t="shared" si="11"/>
        <v>0.30013676936366251</v>
      </c>
    </row>
    <row r="235" spans="1:15" x14ac:dyDescent="0.3">
      <c r="A235" s="2" t="s">
        <v>352</v>
      </c>
      <c r="B235" s="2" t="s">
        <v>351</v>
      </c>
      <c r="C235" s="2" t="s">
        <v>55</v>
      </c>
      <c r="D235" s="2" t="s">
        <v>18</v>
      </c>
      <c r="E235" s="2" t="s">
        <v>46</v>
      </c>
      <c r="F235" s="2" t="s">
        <v>30</v>
      </c>
      <c r="G235" s="3">
        <v>20296</v>
      </c>
      <c r="H235" s="3">
        <v>3521</v>
      </c>
      <c r="I235" s="3">
        <v>4610</v>
      </c>
      <c r="J235" s="3">
        <v>64</v>
      </c>
      <c r="K235" s="3">
        <v>9</v>
      </c>
      <c r="L235" s="3">
        <v>9</v>
      </c>
      <c r="M235" s="3">
        <f t="shared" si="9"/>
        <v>82</v>
      </c>
      <c r="N235" s="4">
        <f t="shared" si="10"/>
        <v>2.3288838398182334E-2</v>
      </c>
      <c r="O235" s="4">
        <f t="shared" si="11"/>
        <v>0.17348245959795033</v>
      </c>
    </row>
    <row r="236" spans="1:15" x14ac:dyDescent="0.3">
      <c r="A236" s="2" t="s">
        <v>353</v>
      </c>
      <c r="B236" s="2" t="s">
        <v>351</v>
      </c>
      <c r="C236" s="2" t="s">
        <v>49</v>
      </c>
      <c r="D236" s="2" t="s">
        <v>23</v>
      </c>
      <c r="E236" s="2" t="s">
        <v>34</v>
      </c>
      <c r="F236" s="2" t="s">
        <v>20</v>
      </c>
      <c r="G236" s="3">
        <v>35045</v>
      </c>
      <c r="H236" s="3">
        <v>6348</v>
      </c>
      <c r="I236" s="3">
        <v>9773</v>
      </c>
      <c r="J236" s="3">
        <v>117</v>
      </c>
      <c r="K236" s="3">
        <v>21</v>
      </c>
      <c r="L236" s="3">
        <v>18</v>
      </c>
      <c r="M236" s="3">
        <f t="shared" si="9"/>
        <v>156</v>
      </c>
      <c r="N236" s="4">
        <f t="shared" si="10"/>
        <v>2.4574669187145556E-2</v>
      </c>
      <c r="O236" s="4">
        <f t="shared" si="11"/>
        <v>0.18113853616778428</v>
      </c>
    </row>
    <row r="237" spans="1:15" x14ac:dyDescent="0.3">
      <c r="A237" s="2" t="s">
        <v>354</v>
      </c>
      <c r="B237" s="2" t="s">
        <v>351</v>
      </c>
      <c r="C237" s="2" t="s">
        <v>73</v>
      </c>
      <c r="D237" s="2" t="s">
        <v>28</v>
      </c>
      <c r="E237" s="2" t="s">
        <v>46</v>
      </c>
      <c r="F237" s="2" t="s">
        <v>41</v>
      </c>
      <c r="G237" s="3">
        <v>47311</v>
      </c>
      <c r="H237" s="3">
        <v>25032</v>
      </c>
      <c r="I237" s="3">
        <v>41396</v>
      </c>
      <c r="J237" s="3">
        <v>318</v>
      </c>
      <c r="K237" s="3">
        <v>50</v>
      </c>
      <c r="L237" s="3">
        <v>95</v>
      </c>
      <c r="M237" s="3">
        <f t="shared" si="9"/>
        <v>463</v>
      </c>
      <c r="N237" s="4">
        <f t="shared" si="10"/>
        <v>1.8496324704378397E-2</v>
      </c>
      <c r="O237" s="4">
        <f t="shared" si="11"/>
        <v>0.52909471370294436</v>
      </c>
    </row>
    <row r="238" spans="1:15" x14ac:dyDescent="0.3">
      <c r="A238" s="2" t="s">
        <v>355</v>
      </c>
      <c r="B238" s="2" t="s">
        <v>351</v>
      </c>
      <c r="C238" s="2" t="s">
        <v>73</v>
      </c>
      <c r="D238" s="2" t="s">
        <v>28</v>
      </c>
      <c r="E238" s="2" t="s">
        <v>24</v>
      </c>
      <c r="F238" s="2" t="s">
        <v>35</v>
      </c>
      <c r="G238" s="3">
        <v>48125</v>
      </c>
      <c r="H238" s="3">
        <v>33630</v>
      </c>
      <c r="I238" s="3">
        <v>56953</v>
      </c>
      <c r="J238" s="3">
        <v>848</v>
      </c>
      <c r="K238" s="3">
        <v>117</v>
      </c>
      <c r="L238" s="3">
        <v>201</v>
      </c>
      <c r="M238" s="3">
        <f t="shared" si="9"/>
        <v>1166</v>
      </c>
      <c r="N238" s="4">
        <f t="shared" si="10"/>
        <v>3.4671424323520668E-2</v>
      </c>
      <c r="O238" s="4">
        <f t="shared" si="11"/>
        <v>0.69880519480519476</v>
      </c>
    </row>
    <row r="239" spans="1:15" x14ac:dyDescent="0.3">
      <c r="A239" s="2" t="s">
        <v>356</v>
      </c>
      <c r="B239" s="2" t="s">
        <v>357</v>
      </c>
      <c r="C239" s="2" t="s">
        <v>83</v>
      </c>
      <c r="D239" s="2" t="s">
        <v>33</v>
      </c>
      <c r="E239" s="2" t="s">
        <v>19</v>
      </c>
      <c r="F239" s="2" t="s">
        <v>47</v>
      </c>
      <c r="G239" s="3">
        <v>27680</v>
      </c>
      <c r="H239" s="3">
        <v>6784</v>
      </c>
      <c r="I239" s="3">
        <v>10492</v>
      </c>
      <c r="J239" s="3">
        <v>125</v>
      </c>
      <c r="K239" s="3">
        <v>8</v>
      </c>
      <c r="L239" s="3">
        <v>27</v>
      </c>
      <c r="M239" s="3">
        <f t="shared" si="9"/>
        <v>160</v>
      </c>
      <c r="N239" s="4">
        <f t="shared" si="10"/>
        <v>2.358490566037736E-2</v>
      </c>
      <c r="O239" s="4">
        <f t="shared" si="11"/>
        <v>0.24508670520231213</v>
      </c>
    </row>
    <row r="240" spans="1:15" x14ac:dyDescent="0.3">
      <c r="A240" s="2" t="s">
        <v>358</v>
      </c>
      <c r="B240" s="2" t="s">
        <v>357</v>
      </c>
      <c r="C240" s="2" t="s">
        <v>49</v>
      </c>
      <c r="D240" s="2" t="s">
        <v>23</v>
      </c>
      <c r="E240" s="2" t="s">
        <v>24</v>
      </c>
      <c r="F240" s="2" t="s">
        <v>41</v>
      </c>
      <c r="G240" s="3">
        <v>34995</v>
      </c>
      <c r="H240" s="3">
        <v>6145</v>
      </c>
      <c r="I240" s="3">
        <v>10040</v>
      </c>
      <c r="J240" s="3">
        <v>190</v>
      </c>
      <c r="K240" s="3">
        <v>12</v>
      </c>
      <c r="L240" s="3">
        <v>47</v>
      </c>
      <c r="M240" s="3">
        <f t="shared" si="9"/>
        <v>249</v>
      </c>
      <c r="N240" s="4">
        <f t="shared" si="10"/>
        <v>4.0520748576078111E-2</v>
      </c>
      <c r="O240" s="4">
        <f t="shared" si="11"/>
        <v>0.17559651378768396</v>
      </c>
    </row>
    <row r="241" spans="1:15" x14ac:dyDescent="0.3">
      <c r="A241" s="2" t="s">
        <v>359</v>
      </c>
      <c r="B241" s="2" t="s">
        <v>357</v>
      </c>
      <c r="C241" s="2" t="s">
        <v>27</v>
      </c>
      <c r="D241" s="2" t="s">
        <v>50</v>
      </c>
      <c r="E241" s="2" t="s">
        <v>34</v>
      </c>
      <c r="F241" s="2" t="s">
        <v>41</v>
      </c>
      <c r="G241" s="3">
        <v>11125</v>
      </c>
      <c r="H241" s="3">
        <v>2943</v>
      </c>
      <c r="I241" s="3">
        <v>4269</v>
      </c>
      <c r="J241" s="3">
        <v>74</v>
      </c>
      <c r="K241" s="3">
        <v>5</v>
      </c>
      <c r="L241" s="3">
        <v>20</v>
      </c>
      <c r="M241" s="3">
        <f t="shared" si="9"/>
        <v>99</v>
      </c>
      <c r="N241" s="4">
        <f t="shared" si="10"/>
        <v>3.3639143730886847E-2</v>
      </c>
      <c r="O241" s="4">
        <f t="shared" si="11"/>
        <v>0.26453932584269663</v>
      </c>
    </row>
    <row r="242" spans="1:15" x14ac:dyDescent="0.3">
      <c r="A242" s="2" t="s">
        <v>360</v>
      </c>
      <c r="B242" s="2" t="s">
        <v>357</v>
      </c>
      <c r="C242" s="2" t="s">
        <v>55</v>
      </c>
      <c r="D242" s="2" t="s">
        <v>28</v>
      </c>
      <c r="E242" s="2" t="s">
        <v>34</v>
      </c>
      <c r="F242" s="2" t="s">
        <v>35</v>
      </c>
      <c r="G242" s="3">
        <v>46867</v>
      </c>
      <c r="H242" s="3">
        <v>39771</v>
      </c>
      <c r="I242" s="3">
        <v>70872</v>
      </c>
      <c r="J242" s="3">
        <v>610</v>
      </c>
      <c r="K242" s="3">
        <v>94</v>
      </c>
      <c r="L242" s="3">
        <v>170</v>
      </c>
      <c r="M242" s="3">
        <f t="shared" si="9"/>
        <v>874</v>
      </c>
      <c r="N242" s="4">
        <f t="shared" si="10"/>
        <v>2.197581152095748E-2</v>
      </c>
      <c r="O242" s="4">
        <f t="shared" si="11"/>
        <v>0.84859282650905754</v>
      </c>
    </row>
    <row r="243" spans="1:15" x14ac:dyDescent="0.3">
      <c r="A243" s="2" t="s">
        <v>361</v>
      </c>
      <c r="B243" s="2" t="s">
        <v>362</v>
      </c>
      <c r="C243" s="2" t="s">
        <v>73</v>
      </c>
      <c r="D243" s="2" t="s">
        <v>18</v>
      </c>
      <c r="E243" s="2" t="s">
        <v>46</v>
      </c>
      <c r="F243" s="2" t="s">
        <v>25</v>
      </c>
      <c r="G243" s="3">
        <v>20323</v>
      </c>
      <c r="H243" s="3">
        <v>2382</v>
      </c>
      <c r="I243" s="3">
        <v>3344</v>
      </c>
      <c r="J243" s="3">
        <v>37</v>
      </c>
      <c r="K243" s="3">
        <v>4</v>
      </c>
      <c r="L243" s="3">
        <v>9</v>
      </c>
      <c r="M243" s="3">
        <f t="shared" si="9"/>
        <v>50</v>
      </c>
      <c r="N243" s="4">
        <f t="shared" si="10"/>
        <v>2.0990764063811923E-2</v>
      </c>
      <c r="O243" s="4">
        <f t="shared" si="11"/>
        <v>0.11720710525020912</v>
      </c>
    </row>
    <row r="244" spans="1:15" x14ac:dyDescent="0.3">
      <c r="A244" s="2" t="s">
        <v>363</v>
      </c>
      <c r="B244" s="2" t="s">
        <v>362</v>
      </c>
      <c r="C244" s="2" t="s">
        <v>22</v>
      </c>
      <c r="D244" s="2" t="s">
        <v>50</v>
      </c>
      <c r="E244" s="2" t="s">
        <v>19</v>
      </c>
      <c r="F244" s="2" t="s">
        <v>67</v>
      </c>
      <c r="G244" s="3">
        <v>10990</v>
      </c>
      <c r="H244" s="3">
        <v>3727</v>
      </c>
      <c r="I244" s="3">
        <v>5464</v>
      </c>
      <c r="J244" s="3">
        <v>184</v>
      </c>
      <c r="K244" s="3">
        <v>16</v>
      </c>
      <c r="L244" s="3">
        <v>43</v>
      </c>
      <c r="M244" s="3">
        <f t="shared" si="9"/>
        <v>243</v>
      </c>
      <c r="N244" s="4">
        <f t="shared" si="10"/>
        <v>6.5199892675073784E-2</v>
      </c>
      <c r="O244" s="4">
        <f t="shared" si="11"/>
        <v>0.33912647861692446</v>
      </c>
    </row>
    <row r="245" spans="1:15" x14ac:dyDescent="0.3">
      <c r="A245" s="2" t="s">
        <v>364</v>
      </c>
      <c r="B245" s="2" t="s">
        <v>362</v>
      </c>
      <c r="C245" s="2" t="s">
        <v>52</v>
      </c>
      <c r="D245" s="2" t="s">
        <v>50</v>
      </c>
      <c r="E245" s="2" t="s">
        <v>46</v>
      </c>
      <c r="F245" s="2" t="s">
        <v>35</v>
      </c>
      <c r="G245" s="3">
        <v>11244</v>
      </c>
      <c r="H245" s="3">
        <v>1654</v>
      </c>
      <c r="I245" s="3">
        <v>2861</v>
      </c>
      <c r="J245" s="3">
        <v>20</v>
      </c>
      <c r="K245" s="3">
        <v>2</v>
      </c>
      <c r="L245" s="3">
        <v>7</v>
      </c>
      <c r="M245" s="3">
        <f t="shared" si="9"/>
        <v>29</v>
      </c>
      <c r="N245" s="4">
        <f t="shared" si="10"/>
        <v>1.7533252720677146E-2</v>
      </c>
      <c r="O245" s="4">
        <f t="shared" si="11"/>
        <v>0.14710067591604412</v>
      </c>
    </row>
    <row r="246" spans="1:15" x14ac:dyDescent="0.3">
      <c r="A246" s="2" t="s">
        <v>365</v>
      </c>
      <c r="B246" s="2" t="s">
        <v>366</v>
      </c>
      <c r="C246" s="2" t="s">
        <v>73</v>
      </c>
      <c r="D246" s="2" t="s">
        <v>18</v>
      </c>
      <c r="E246" s="2" t="s">
        <v>29</v>
      </c>
      <c r="F246" s="2" t="s">
        <v>67</v>
      </c>
      <c r="G246" s="3">
        <v>20722</v>
      </c>
      <c r="H246" s="3">
        <v>4421</v>
      </c>
      <c r="I246" s="3">
        <v>6000</v>
      </c>
      <c r="J246" s="3">
        <v>93</v>
      </c>
      <c r="K246" s="3">
        <v>15</v>
      </c>
      <c r="L246" s="3">
        <v>32</v>
      </c>
      <c r="M246" s="3">
        <f t="shared" si="9"/>
        <v>140</v>
      </c>
      <c r="N246" s="4">
        <f t="shared" si="10"/>
        <v>3.1667043655281613E-2</v>
      </c>
      <c r="O246" s="4">
        <f t="shared" si="11"/>
        <v>0.21334813241965062</v>
      </c>
    </row>
    <row r="247" spans="1:15" x14ac:dyDescent="0.3">
      <c r="A247" s="2" t="s">
        <v>367</v>
      </c>
      <c r="B247" s="2" t="s">
        <v>366</v>
      </c>
      <c r="C247" s="2" t="s">
        <v>39</v>
      </c>
      <c r="D247" s="2" t="s">
        <v>23</v>
      </c>
      <c r="E247" s="2" t="s">
        <v>34</v>
      </c>
      <c r="F247" s="2" t="s">
        <v>67</v>
      </c>
      <c r="G247" s="3">
        <v>35803</v>
      </c>
      <c r="H247" s="3">
        <v>2925</v>
      </c>
      <c r="I247" s="3">
        <v>3311</v>
      </c>
      <c r="J247" s="3">
        <v>71</v>
      </c>
      <c r="K247" s="3">
        <v>6</v>
      </c>
      <c r="L247" s="3">
        <v>14</v>
      </c>
      <c r="M247" s="3">
        <f t="shared" si="9"/>
        <v>91</v>
      </c>
      <c r="N247" s="4">
        <f t="shared" si="10"/>
        <v>3.111111111111111E-2</v>
      </c>
      <c r="O247" s="4">
        <f t="shared" si="11"/>
        <v>8.1697064491802363E-2</v>
      </c>
    </row>
    <row r="248" spans="1:15" x14ac:dyDescent="0.3">
      <c r="A248" s="2" t="s">
        <v>368</v>
      </c>
      <c r="B248" s="2" t="s">
        <v>369</v>
      </c>
      <c r="C248" s="2" t="s">
        <v>27</v>
      </c>
      <c r="D248" s="2" t="s">
        <v>18</v>
      </c>
      <c r="E248" s="2" t="s">
        <v>40</v>
      </c>
      <c r="F248" s="2" t="s">
        <v>79</v>
      </c>
      <c r="G248" s="3">
        <v>20565</v>
      </c>
      <c r="H248" s="3">
        <v>2376</v>
      </c>
      <c r="I248" s="3">
        <v>3233</v>
      </c>
      <c r="J248" s="3">
        <v>111</v>
      </c>
      <c r="K248" s="3">
        <v>9</v>
      </c>
      <c r="L248" s="3">
        <v>22</v>
      </c>
      <c r="M248" s="3">
        <f t="shared" si="9"/>
        <v>142</v>
      </c>
      <c r="N248" s="4">
        <f t="shared" si="10"/>
        <v>5.9764309764309763E-2</v>
      </c>
      <c r="O248" s="4">
        <f t="shared" si="11"/>
        <v>0.11553610503282276</v>
      </c>
    </row>
    <row r="249" spans="1:15" x14ac:dyDescent="0.3">
      <c r="A249" s="2" t="s">
        <v>370</v>
      </c>
      <c r="B249" s="2" t="s">
        <v>369</v>
      </c>
      <c r="C249" s="2" t="s">
        <v>45</v>
      </c>
      <c r="D249" s="2" t="s">
        <v>28</v>
      </c>
      <c r="E249" s="2" t="s">
        <v>29</v>
      </c>
      <c r="F249" s="2" t="s">
        <v>35</v>
      </c>
      <c r="G249" s="3">
        <v>47565</v>
      </c>
      <c r="H249" s="3">
        <v>28991</v>
      </c>
      <c r="I249" s="3">
        <v>32051</v>
      </c>
      <c r="J249" s="3">
        <v>613</v>
      </c>
      <c r="K249" s="3">
        <v>67</v>
      </c>
      <c r="L249" s="3">
        <v>155</v>
      </c>
      <c r="M249" s="3">
        <f t="shared" si="9"/>
        <v>835</v>
      </c>
      <c r="N249" s="4">
        <f t="shared" si="10"/>
        <v>2.8802042013038529E-2</v>
      </c>
      <c r="O249" s="4">
        <f t="shared" si="11"/>
        <v>0.60950278566172611</v>
      </c>
    </row>
    <row r="250" spans="1:15" x14ac:dyDescent="0.3">
      <c r="A250" s="2" t="s">
        <v>371</v>
      </c>
      <c r="B250" s="2" t="s">
        <v>372</v>
      </c>
      <c r="C250" s="2" t="s">
        <v>27</v>
      </c>
      <c r="D250" s="2" t="s">
        <v>33</v>
      </c>
      <c r="E250" s="2" t="s">
        <v>40</v>
      </c>
      <c r="F250" s="2" t="s">
        <v>25</v>
      </c>
      <c r="G250" s="3">
        <v>28244</v>
      </c>
      <c r="H250" s="3">
        <v>9251</v>
      </c>
      <c r="I250" s="3">
        <v>15330</v>
      </c>
      <c r="J250" s="3">
        <v>254</v>
      </c>
      <c r="K250" s="3">
        <v>16</v>
      </c>
      <c r="L250" s="3">
        <v>52</v>
      </c>
      <c r="M250" s="3">
        <f t="shared" si="9"/>
        <v>322</v>
      </c>
      <c r="N250" s="4">
        <f t="shared" si="10"/>
        <v>3.4807047886714952E-2</v>
      </c>
      <c r="O250" s="4">
        <f t="shared" si="11"/>
        <v>0.32753859226738424</v>
      </c>
    </row>
    <row r="251" spans="1:15" x14ac:dyDescent="0.3">
      <c r="A251" s="2" t="s">
        <v>373</v>
      </c>
      <c r="B251" s="2" t="s">
        <v>372</v>
      </c>
      <c r="C251" s="2" t="s">
        <v>17</v>
      </c>
      <c r="D251" s="2" t="s">
        <v>18</v>
      </c>
      <c r="E251" s="2" t="s">
        <v>34</v>
      </c>
      <c r="F251" s="2" t="s">
        <v>79</v>
      </c>
      <c r="G251" s="3">
        <v>20373</v>
      </c>
      <c r="H251" s="3">
        <v>4715</v>
      </c>
      <c r="I251" s="3">
        <v>7988</v>
      </c>
      <c r="J251" s="3">
        <v>149</v>
      </c>
      <c r="K251" s="3">
        <v>23</v>
      </c>
      <c r="L251" s="3">
        <v>53</v>
      </c>
      <c r="M251" s="3">
        <f t="shared" si="9"/>
        <v>225</v>
      </c>
      <c r="N251" s="4">
        <f t="shared" si="10"/>
        <v>4.7720042417815481E-2</v>
      </c>
      <c r="O251" s="4">
        <f t="shared" si="11"/>
        <v>0.23143376036911598</v>
      </c>
    </row>
    <row r="252" spans="1:15" x14ac:dyDescent="0.3">
      <c r="A252" s="2" t="s">
        <v>374</v>
      </c>
      <c r="B252" s="2" t="s">
        <v>372</v>
      </c>
      <c r="C252" s="2" t="s">
        <v>73</v>
      </c>
      <c r="D252" s="2" t="s">
        <v>23</v>
      </c>
      <c r="E252" s="2" t="s">
        <v>19</v>
      </c>
      <c r="F252" s="2" t="s">
        <v>35</v>
      </c>
      <c r="G252" s="3">
        <v>34831</v>
      </c>
      <c r="H252" s="3">
        <v>7278</v>
      </c>
      <c r="I252" s="3">
        <v>12577</v>
      </c>
      <c r="J252" s="3">
        <v>274</v>
      </c>
      <c r="K252" s="3">
        <v>31</v>
      </c>
      <c r="L252" s="3">
        <v>58</v>
      </c>
      <c r="M252" s="3">
        <f t="shared" si="9"/>
        <v>363</v>
      </c>
      <c r="N252" s="4">
        <f t="shared" si="10"/>
        <v>4.9876339653751031E-2</v>
      </c>
      <c r="O252" s="4">
        <f t="shared" si="11"/>
        <v>0.20895179581407367</v>
      </c>
    </row>
    <row r="253" spans="1:15" x14ac:dyDescent="0.3">
      <c r="A253" s="2" t="s">
        <v>375</v>
      </c>
      <c r="B253" s="2" t="s">
        <v>372</v>
      </c>
      <c r="C253" s="2" t="s">
        <v>83</v>
      </c>
      <c r="D253" s="2" t="s">
        <v>50</v>
      </c>
      <c r="E253" s="2" t="s">
        <v>19</v>
      </c>
      <c r="F253" s="2" t="s">
        <v>41</v>
      </c>
      <c r="G253" s="3">
        <v>11003</v>
      </c>
      <c r="H253" s="3">
        <v>2757</v>
      </c>
      <c r="I253" s="3">
        <v>3872</v>
      </c>
      <c r="J253" s="3">
        <v>143</v>
      </c>
      <c r="K253" s="3">
        <v>15</v>
      </c>
      <c r="L253" s="3">
        <v>51</v>
      </c>
      <c r="M253" s="3">
        <f t="shared" si="9"/>
        <v>209</v>
      </c>
      <c r="N253" s="4">
        <f t="shared" si="10"/>
        <v>7.5807036634022482E-2</v>
      </c>
      <c r="O253" s="4">
        <f t="shared" si="11"/>
        <v>0.25056802690175406</v>
      </c>
    </row>
    <row r="254" spans="1:15" x14ac:dyDescent="0.3">
      <c r="A254" s="2" t="s">
        <v>376</v>
      </c>
      <c r="B254" s="2" t="s">
        <v>372</v>
      </c>
      <c r="C254" s="2" t="s">
        <v>22</v>
      </c>
      <c r="D254" s="2" t="s">
        <v>50</v>
      </c>
      <c r="E254" s="2" t="s">
        <v>40</v>
      </c>
      <c r="F254" s="2" t="s">
        <v>79</v>
      </c>
      <c r="G254" s="3">
        <v>11112</v>
      </c>
      <c r="H254" s="3">
        <v>2028</v>
      </c>
      <c r="I254" s="3">
        <v>2336</v>
      </c>
      <c r="J254" s="3">
        <v>59</v>
      </c>
      <c r="K254" s="3">
        <v>8</v>
      </c>
      <c r="L254" s="3">
        <v>11</v>
      </c>
      <c r="M254" s="3">
        <f t="shared" si="9"/>
        <v>78</v>
      </c>
      <c r="N254" s="4">
        <f t="shared" si="10"/>
        <v>3.8461538461538464E-2</v>
      </c>
      <c r="O254" s="4">
        <f t="shared" si="11"/>
        <v>0.18250539956803455</v>
      </c>
    </row>
    <row r="255" spans="1:15" x14ac:dyDescent="0.3">
      <c r="A255" s="2" t="s">
        <v>377</v>
      </c>
      <c r="B255" s="2" t="s">
        <v>372</v>
      </c>
      <c r="C255" s="2" t="s">
        <v>49</v>
      </c>
      <c r="D255" s="2" t="s">
        <v>28</v>
      </c>
      <c r="E255" s="2" t="s">
        <v>29</v>
      </c>
      <c r="F255" s="2" t="s">
        <v>41</v>
      </c>
      <c r="G255" s="3">
        <v>47244</v>
      </c>
      <c r="H255" s="3">
        <v>22813</v>
      </c>
      <c r="I255" s="3">
        <v>37395</v>
      </c>
      <c r="J255" s="3">
        <v>695</v>
      </c>
      <c r="K255" s="3">
        <v>130</v>
      </c>
      <c r="L255" s="3">
        <v>142</v>
      </c>
      <c r="M255" s="3">
        <f t="shared" si="9"/>
        <v>967</v>
      </c>
      <c r="N255" s="4">
        <f t="shared" si="10"/>
        <v>4.2388112041379912E-2</v>
      </c>
      <c r="O255" s="4">
        <f t="shared" si="11"/>
        <v>0.48287613241893151</v>
      </c>
    </row>
    <row r="256" spans="1:15" x14ac:dyDescent="0.3">
      <c r="A256" s="2" t="s">
        <v>378</v>
      </c>
      <c r="B256" s="2" t="s">
        <v>379</v>
      </c>
      <c r="C256" s="2" t="s">
        <v>52</v>
      </c>
      <c r="D256" s="2" t="s">
        <v>33</v>
      </c>
      <c r="E256" s="2" t="s">
        <v>46</v>
      </c>
      <c r="F256" s="2" t="s">
        <v>67</v>
      </c>
      <c r="G256" s="3">
        <v>27708</v>
      </c>
      <c r="H256" s="3">
        <v>11395</v>
      </c>
      <c r="I256" s="3">
        <v>13717</v>
      </c>
      <c r="J256" s="3">
        <v>283</v>
      </c>
      <c r="K256" s="3">
        <v>21</v>
      </c>
      <c r="L256" s="3">
        <v>95</v>
      </c>
      <c r="M256" s="3">
        <f t="shared" si="9"/>
        <v>399</v>
      </c>
      <c r="N256" s="4">
        <f t="shared" si="10"/>
        <v>3.501535761298815E-2</v>
      </c>
      <c r="O256" s="4">
        <f t="shared" si="11"/>
        <v>0.41125306770607767</v>
      </c>
    </row>
    <row r="257" spans="1:15" x14ac:dyDescent="0.3">
      <c r="A257" s="2" t="s">
        <v>380</v>
      </c>
      <c r="B257" s="2" t="s">
        <v>379</v>
      </c>
      <c r="C257" s="2" t="s">
        <v>39</v>
      </c>
      <c r="D257" s="2" t="s">
        <v>18</v>
      </c>
      <c r="E257" s="2" t="s">
        <v>34</v>
      </c>
      <c r="F257" s="2" t="s">
        <v>41</v>
      </c>
      <c r="G257" s="3">
        <v>21116</v>
      </c>
      <c r="H257" s="3">
        <v>4459</v>
      </c>
      <c r="I257" s="3">
        <v>6621</v>
      </c>
      <c r="J257" s="3">
        <v>69</v>
      </c>
      <c r="K257" s="3">
        <v>5</v>
      </c>
      <c r="L257" s="3">
        <v>17</v>
      </c>
      <c r="M257" s="3">
        <f t="shared" si="9"/>
        <v>91</v>
      </c>
      <c r="N257" s="4">
        <f t="shared" si="10"/>
        <v>2.0408163265306121E-2</v>
      </c>
      <c r="O257" s="4">
        <f t="shared" si="11"/>
        <v>0.21116688766811897</v>
      </c>
    </row>
    <row r="258" spans="1:15" x14ac:dyDescent="0.3">
      <c r="A258" s="2" t="s">
        <v>381</v>
      </c>
      <c r="B258" s="2" t="s">
        <v>379</v>
      </c>
      <c r="C258" s="2" t="s">
        <v>22</v>
      </c>
      <c r="D258" s="2" t="s">
        <v>28</v>
      </c>
      <c r="E258" s="2" t="s">
        <v>29</v>
      </c>
      <c r="F258" s="2" t="s">
        <v>30</v>
      </c>
      <c r="G258" s="3">
        <v>48206</v>
      </c>
      <c r="H258" s="3">
        <v>20161</v>
      </c>
      <c r="I258" s="3">
        <v>33647</v>
      </c>
      <c r="J258" s="3">
        <v>322</v>
      </c>
      <c r="K258" s="3">
        <v>38</v>
      </c>
      <c r="L258" s="3">
        <v>50</v>
      </c>
      <c r="M258" s="3">
        <f t="shared" ref="M258:M321" si="12">SUM(J258:L258)</f>
        <v>410</v>
      </c>
      <c r="N258" s="4">
        <f t="shared" ref="N258:N321" si="13">IFERROR(M258/H258,0)</f>
        <v>2.0336292842616933E-2</v>
      </c>
      <c r="O258" s="4">
        <f t="shared" ref="O258:O321" si="14">IFERROR(H258/G258,0)</f>
        <v>0.41822594697755466</v>
      </c>
    </row>
    <row r="259" spans="1:15" x14ac:dyDescent="0.3">
      <c r="A259" s="2" t="s">
        <v>382</v>
      </c>
      <c r="B259" s="2" t="s">
        <v>383</v>
      </c>
      <c r="C259" s="2" t="s">
        <v>55</v>
      </c>
      <c r="D259" s="2" t="s">
        <v>33</v>
      </c>
      <c r="E259" s="2" t="s">
        <v>29</v>
      </c>
      <c r="F259" s="2" t="s">
        <v>30</v>
      </c>
      <c r="G259" s="3">
        <v>27558</v>
      </c>
      <c r="H259" s="3">
        <v>8390</v>
      </c>
      <c r="I259" s="3">
        <v>10215</v>
      </c>
      <c r="J259" s="3">
        <v>353</v>
      </c>
      <c r="K259" s="3">
        <v>26</v>
      </c>
      <c r="L259" s="3">
        <v>120</v>
      </c>
      <c r="M259" s="3">
        <f t="shared" si="12"/>
        <v>499</v>
      </c>
      <c r="N259" s="4">
        <f t="shared" si="13"/>
        <v>5.9475566150178787E-2</v>
      </c>
      <c r="O259" s="4">
        <f t="shared" si="14"/>
        <v>0.30444879889687204</v>
      </c>
    </row>
    <row r="260" spans="1:15" x14ac:dyDescent="0.3">
      <c r="A260" s="2" t="s">
        <v>384</v>
      </c>
      <c r="B260" s="2" t="s">
        <v>383</v>
      </c>
      <c r="C260" s="2" t="s">
        <v>27</v>
      </c>
      <c r="D260" s="2" t="s">
        <v>18</v>
      </c>
      <c r="E260" s="2" t="s">
        <v>19</v>
      </c>
      <c r="F260" s="2" t="s">
        <v>35</v>
      </c>
      <c r="G260" s="3">
        <v>20669</v>
      </c>
      <c r="H260" s="3">
        <v>5718</v>
      </c>
      <c r="I260" s="3">
        <v>6428</v>
      </c>
      <c r="J260" s="3">
        <v>242</v>
      </c>
      <c r="K260" s="3">
        <v>31</v>
      </c>
      <c r="L260" s="3">
        <v>77</v>
      </c>
      <c r="M260" s="3">
        <f t="shared" si="12"/>
        <v>350</v>
      </c>
      <c r="N260" s="4">
        <f t="shared" si="13"/>
        <v>6.1210213361315144E-2</v>
      </c>
      <c r="O260" s="4">
        <f t="shared" si="14"/>
        <v>0.27664618510813294</v>
      </c>
    </row>
    <row r="261" spans="1:15" x14ac:dyDescent="0.3">
      <c r="A261" s="2" t="s">
        <v>385</v>
      </c>
      <c r="B261" s="2" t="s">
        <v>383</v>
      </c>
      <c r="C261" s="2" t="s">
        <v>43</v>
      </c>
      <c r="D261" s="2" t="s">
        <v>23</v>
      </c>
      <c r="E261" s="2" t="s">
        <v>40</v>
      </c>
      <c r="F261" s="2" t="s">
        <v>20</v>
      </c>
      <c r="G261" s="3">
        <v>35405</v>
      </c>
      <c r="H261" s="3">
        <v>6017</v>
      </c>
      <c r="I261" s="3">
        <v>9976</v>
      </c>
      <c r="J261" s="3">
        <v>230</v>
      </c>
      <c r="K261" s="3">
        <v>16</v>
      </c>
      <c r="L261" s="3">
        <v>69</v>
      </c>
      <c r="M261" s="3">
        <f t="shared" si="12"/>
        <v>315</v>
      </c>
      <c r="N261" s="4">
        <f t="shared" si="13"/>
        <v>5.2351670267575201E-2</v>
      </c>
      <c r="O261" s="4">
        <f t="shared" si="14"/>
        <v>0.16994774749329192</v>
      </c>
    </row>
    <row r="262" spans="1:15" x14ac:dyDescent="0.3">
      <c r="A262" s="2" t="s">
        <v>386</v>
      </c>
      <c r="B262" s="2" t="s">
        <v>383</v>
      </c>
      <c r="C262" s="2" t="s">
        <v>45</v>
      </c>
      <c r="D262" s="2" t="s">
        <v>23</v>
      </c>
      <c r="E262" s="2" t="s">
        <v>46</v>
      </c>
      <c r="F262" s="2" t="s">
        <v>79</v>
      </c>
      <c r="G262" s="3">
        <v>35490</v>
      </c>
      <c r="H262" s="3">
        <v>6721</v>
      </c>
      <c r="I262" s="3">
        <v>9011</v>
      </c>
      <c r="J262" s="3">
        <v>124</v>
      </c>
      <c r="K262" s="3">
        <v>9</v>
      </c>
      <c r="L262" s="3">
        <v>48</v>
      </c>
      <c r="M262" s="3">
        <f t="shared" si="12"/>
        <v>181</v>
      </c>
      <c r="N262" s="4">
        <f t="shared" si="13"/>
        <v>2.6930516292218421E-2</v>
      </c>
      <c r="O262" s="4">
        <f t="shared" si="14"/>
        <v>0.18937728937728937</v>
      </c>
    </row>
    <row r="263" spans="1:15" x14ac:dyDescent="0.3">
      <c r="A263" s="2" t="s">
        <v>387</v>
      </c>
      <c r="B263" s="2" t="s">
        <v>383</v>
      </c>
      <c r="C263" s="2" t="s">
        <v>17</v>
      </c>
      <c r="D263" s="2" t="s">
        <v>50</v>
      </c>
      <c r="E263" s="2" t="s">
        <v>29</v>
      </c>
      <c r="F263" s="2" t="s">
        <v>67</v>
      </c>
      <c r="G263" s="3">
        <v>11367</v>
      </c>
      <c r="H263" s="3">
        <v>2597</v>
      </c>
      <c r="I263" s="3">
        <v>3506</v>
      </c>
      <c r="J263" s="3">
        <v>95</v>
      </c>
      <c r="K263" s="3">
        <v>10</v>
      </c>
      <c r="L263" s="3">
        <v>36</v>
      </c>
      <c r="M263" s="3">
        <f t="shared" si="12"/>
        <v>141</v>
      </c>
      <c r="N263" s="4">
        <f t="shared" si="13"/>
        <v>5.429341547939931E-2</v>
      </c>
      <c r="O263" s="4">
        <f t="shared" si="14"/>
        <v>0.22846837336148501</v>
      </c>
    </row>
    <row r="264" spans="1:15" x14ac:dyDescent="0.3">
      <c r="A264" s="2" t="s">
        <v>388</v>
      </c>
      <c r="B264" s="2" t="s">
        <v>383</v>
      </c>
      <c r="C264" s="2" t="s">
        <v>22</v>
      </c>
      <c r="D264" s="2" t="s">
        <v>28</v>
      </c>
      <c r="E264" s="2" t="s">
        <v>46</v>
      </c>
      <c r="F264" s="2" t="s">
        <v>67</v>
      </c>
      <c r="G264" s="3">
        <v>48631</v>
      </c>
      <c r="H264" s="3">
        <v>42117</v>
      </c>
      <c r="I264" s="3">
        <v>63301</v>
      </c>
      <c r="J264" s="3">
        <v>1333</v>
      </c>
      <c r="K264" s="3">
        <v>251</v>
      </c>
      <c r="L264" s="3">
        <v>103</v>
      </c>
      <c r="M264" s="3">
        <f t="shared" si="12"/>
        <v>1687</v>
      </c>
      <c r="N264" s="4">
        <f t="shared" si="13"/>
        <v>4.0055084645155163E-2</v>
      </c>
      <c r="O264" s="4">
        <f t="shared" si="14"/>
        <v>0.86605251794123095</v>
      </c>
    </row>
    <row r="265" spans="1:15" x14ac:dyDescent="0.3">
      <c r="A265" s="2" t="s">
        <v>389</v>
      </c>
      <c r="B265" s="2" t="s">
        <v>390</v>
      </c>
      <c r="C265" s="2" t="s">
        <v>17</v>
      </c>
      <c r="D265" s="2" t="s">
        <v>33</v>
      </c>
      <c r="E265" s="2" t="s">
        <v>46</v>
      </c>
      <c r="F265" s="2" t="s">
        <v>79</v>
      </c>
      <c r="G265" s="3">
        <v>28581</v>
      </c>
      <c r="H265" s="3">
        <v>5362</v>
      </c>
      <c r="I265" s="3">
        <v>8527</v>
      </c>
      <c r="J265" s="3">
        <v>135</v>
      </c>
      <c r="K265" s="3">
        <v>19</v>
      </c>
      <c r="L265" s="3">
        <v>31</v>
      </c>
      <c r="M265" s="3">
        <f t="shared" si="12"/>
        <v>185</v>
      </c>
      <c r="N265" s="4">
        <f t="shared" si="13"/>
        <v>3.4502051473330846E-2</v>
      </c>
      <c r="O265" s="4">
        <f t="shared" si="14"/>
        <v>0.1876071516042126</v>
      </c>
    </row>
    <row r="266" spans="1:15" x14ac:dyDescent="0.3">
      <c r="A266" s="2" t="s">
        <v>391</v>
      </c>
      <c r="B266" s="2" t="s">
        <v>390</v>
      </c>
      <c r="C266" s="2" t="s">
        <v>22</v>
      </c>
      <c r="D266" s="2" t="s">
        <v>28</v>
      </c>
      <c r="E266" s="2" t="s">
        <v>34</v>
      </c>
      <c r="F266" s="2" t="s">
        <v>30</v>
      </c>
      <c r="G266" s="3">
        <v>47343</v>
      </c>
      <c r="H266" s="3">
        <v>30350</v>
      </c>
      <c r="I266" s="3">
        <v>33808</v>
      </c>
      <c r="J266" s="3">
        <v>775</v>
      </c>
      <c r="K266" s="3">
        <v>123</v>
      </c>
      <c r="L266" s="3">
        <v>210</v>
      </c>
      <c r="M266" s="3">
        <f t="shared" si="12"/>
        <v>1108</v>
      </c>
      <c r="N266" s="4">
        <f t="shared" si="13"/>
        <v>3.6507413509060956E-2</v>
      </c>
      <c r="O266" s="4">
        <f t="shared" si="14"/>
        <v>0.64106626111568765</v>
      </c>
    </row>
    <row r="267" spans="1:15" x14ac:dyDescent="0.3">
      <c r="A267" s="2" t="s">
        <v>392</v>
      </c>
      <c r="B267" s="2" t="s">
        <v>393</v>
      </c>
      <c r="C267" s="2" t="s">
        <v>49</v>
      </c>
      <c r="D267" s="2" t="s">
        <v>33</v>
      </c>
      <c r="E267" s="2" t="s">
        <v>29</v>
      </c>
      <c r="F267" s="2" t="s">
        <v>67</v>
      </c>
      <c r="G267" s="3">
        <v>27621</v>
      </c>
      <c r="H267" s="3">
        <v>9346</v>
      </c>
      <c r="I267" s="3">
        <v>16281</v>
      </c>
      <c r="J267" s="3">
        <v>434</v>
      </c>
      <c r="K267" s="3">
        <v>76</v>
      </c>
      <c r="L267" s="3">
        <v>49</v>
      </c>
      <c r="M267" s="3">
        <f t="shared" si="12"/>
        <v>559</v>
      </c>
      <c r="N267" s="4">
        <f t="shared" si="13"/>
        <v>5.9811684142948858E-2</v>
      </c>
      <c r="O267" s="4">
        <f t="shared" si="14"/>
        <v>0.33836573621519855</v>
      </c>
    </row>
    <row r="268" spans="1:15" x14ac:dyDescent="0.3">
      <c r="A268" s="2" t="s">
        <v>394</v>
      </c>
      <c r="B268" s="2" t="s">
        <v>393</v>
      </c>
      <c r="C268" s="2" t="s">
        <v>64</v>
      </c>
      <c r="D268" s="2" t="s">
        <v>18</v>
      </c>
      <c r="E268" s="2" t="s">
        <v>40</v>
      </c>
      <c r="F268" s="2" t="s">
        <v>30</v>
      </c>
      <c r="G268" s="3">
        <v>20782</v>
      </c>
      <c r="H268" s="3">
        <v>3419</v>
      </c>
      <c r="I268" s="3">
        <v>6096</v>
      </c>
      <c r="J268" s="3">
        <v>187</v>
      </c>
      <c r="K268" s="3">
        <v>29</v>
      </c>
      <c r="L268" s="3">
        <v>46</v>
      </c>
      <c r="M268" s="3">
        <f t="shared" si="12"/>
        <v>262</v>
      </c>
      <c r="N268" s="4">
        <f t="shared" si="13"/>
        <v>7.6630593740859898E-2</v>
      </c>
      <c r="O268" s="4">
        <f t="shared" si="14"/>
        <v>0.16451737080165527</v>
      </c>
    </row>
    <row r="269" spans="1:15" x14ac:dyDescent="0.3">
      <c r="A269" s="2" t="s">
        <v>395</v>
      </c>
      <c r="B269" s="2" t="s">
        <v>393</v>
      </c>
      <c r="C269" s="2" t="s">
        <v>73</v>
      </c>
      <c r="D269" s="2" t="s">
        <v>50</v>
      </c>
      <c r="E269" s="2" t="s">
        <v>46</v>
      </c>
      <c r="F269" s="2" t="s">
        <v>79</v>
      </c>
      <c r="G269" s="3">
        <v>11139</v>
      </c>
      <c r="H269" s="3">
        <v>2845</v>
      </c>
      <c r="I269" s="3">
        <v>3478</v>
      </c>
      <c r="J269" s="3">
        <v>36</v>
      </c>
      <c r="K269" s="3">
        <v>3</v>
      </c>
      <c r="L269" s="3">
        <v>10</v>
      </c>
      <c r="M269" s="3">
        <f t="shared" si="12"/>
        <v>49</v>
      </c>
      <c r="N269" s="4">
        <f t="shared" si="13"/>
        <v>1.7223198594024606E-2</v>
      </c>
      <c r="O269" s="4">
        <f t="shared" si="14"/>
        <v>0.2554089236017596</v>
      </c>
    </row>
    <row r="270" spans="1:15" x14ac:dyDescent="0.3">
      <c r="A270" s="2" t="s">
        <v>396</v>
      </c>
      <c r="B270" s="2" t="s">
        <v>393</v>
      </c>
      <c r="C270" s="2" t="s">
        <v>45</v>
      </c>
      <c r="D270" s="2" t="s">
        <v>28</v>
      </c>
      <c r="E270" s="2" t="s">
        <v>24</v>
      </c>
      <c r="F270" s="2" t="s">
        <v>41</v>
      </c>
      <c r="G270" s="3">
        <v>48952</v>
      </c>
      <c r="H270" s="3">
        <v>36764</v>
      </c>
      <c r="I270" s="3">
        <v>55044</v>
      </c>
      <c r="J270" s="3">
        <v>415</v>
      </c>
      <c r="K270" s="3">
        <v>78</v>
      </c>
      <c r="L270" s="3">
        <v>103</v>
      </c>
      <c r="M270" s="3">
        <f t="shared" si="12"/>
        <v>596</v>
      </c>
      <c r="N270" s="4">
        <f t="shared" si="13"/>
        <v>1.621151126101621E-2</v>
      </c>
      <c r="O270" s="4">
        <f t="shared" si="14"/>
        <v>0.75102140872691614</v>
      </c>
    </row>
    <row r="271" spans="1:15" x14ac:dyDescent="0.3">
      <c r="A271" s="2" t="s">
        <v>397</v>
      </c>
      <c r="B271" s="2" t="s">
        <v>398</v>
      </c>
      <c r="C271" s="2" t="s">
        <v>73</v>
      </c>
      <c r="D271" s="2" t="s">
        <v>33</v>
      </c>
      <c r="E271" s="2" t="s">
        <v>40</v>
      </c>
      <c r="F271" s="2" t="s">
        <v>20</v>
      </c>
      <c r="G271" s="3">
        <v>28013</v>
      </c>
      <c r="H271" s="3">
        <v>5630</v>
      </c>
      <c r="I271" s="3">
        <v>7559</v>
      </c>
      <c r="J271" s="3">
        <v>196</v>
      </c>
      <c r="K271" s="3">
        <v>38</v>
      </c>
      <c r="L271" s="3">
        <v>30</v>
      </c>
      <c r="M271" s="3">
        <f t="shared" si="12"/>
        <v>264</v>
      </c>
      <c r="N271" s="4">
        <f t="shared" si="13"/>
        <v>4.6891651865008883E-2</v>
      </c>
      <c r="O271" s="4">
        <f t="shared" si="14"/>
        <v>0.20097811730268089</v>
      </c>
    </row>
    <row r="272" spans="1:15" x14ac:dyDescent="0.3">
      <c r="A272" s="2" t="s">
        <v>399</v>
      </c>
      <c r="B272" s="2" t="s">
        <v>398</v>
      </c>
      <c r="C272" s="2" t="s">
        <v>43</v>
      </c>
      <c r="D272" s="2" t="s">
        <v>50</v>
      </c>
      <c r="E272" s="2" t="s">
        <v>19</v>
      </c>
      <c r="F272" s="2" t="s">
        <v>25</v>
      </c>
      <c r="G272" s="3">
        <v>11368</v>
      </c>
      <c r="H272" s="3">
        <v>2280</v>
      </c>
      <c r="I272" s="3">
        <v>3764</v>
      </c>
      <c r="J272" s="3">
        <v>92</v>
      </c>
      <c r="K272" s="3">
        <v>13</v>
      </c>
      <c r="L272" s="3">
        <v>35</v>
      </c>
      <c r="M272" s="3">
        <f t="shared" si="12"/>
        <v>140</v>
      </c>
      <c r="N272" s="4">
        <f t="shared" si="13"/>
        <v>6.1403508771929821E-2</v>
      </c>
      <c r="O272" s="4">
        <f t="shared" si="14"/>
        <v>0.20056298381421533</v>
      </c>
    </row>
    <row r="273" spans="1:15" x14ac:dyDescent="0.3">
      <c r="A273" s="2" t="s">
        <v>400</v>
      </c>
      <c r="B273" s="2" t="s">
        <v>398</v>
      </c>
      <c r="C273" s="2" t="s">
        <v>55</v>
      </c>
      <c r="D273" s="2" t="s">
        <v>50</v>
      </c>
      <c r="E273" s="2" t="s">
        <v>19</v>
      </c>
      <c r="F273" s="2" t="s">
        <v>41</v>
      </c>
      <c r="G273" s="3">
        <v>11278</v>
      </c>
      <c r="H273" s="3">
        <v>2335</v>
      </c>
      <c r="I273" s="3">
        <v>3460</v>
      </c>
      <c r="J273" s="3">
        <v>42</v>
      </c>
      <c r="K273" s="3">
        <v>8</v>
      </c>
      <c r="L273" s="3">
        <v>9</v>
      </c>
      <c r="M273" s="3">
        <f t="shared" si="12"/>
        <v>59</v>
      </c>
      <c r="N273" s="4">
        <f t="shared" si="13"/>
        <v>2.5267665952890792E-2</v>
      </c>
      <c r="O273" s="4">
        <f t="shared" si="14"/>
        <v>0.20704025536442633</v>
      </c>
    </row>
    <row r="274" spans="1:15" x14ac:dyDescent="0.3">
      <c r="A274" s="2" t="s">
        <v>401</v>
      </c>
      <c r="B274" s="2" t="s">
        <v>402</v>
      </c>
      <c r="C274" s="2" t="s">
        <v>49</v>
      </c>
      <c r="D274" s="2" t="s">
        <v>33</v>
      </c>
      <c r="E274" s="2" t="s">
        <v>34</v>
      </c>
      <c r="F274" s="2" t="s">
        <v>35</v>
      </c>
      <c r="G274" s="3">
        <v>27706</v>
      </c>
      <c r="H274" s="3">
        <v>6940</v>
      </c>
      <c r="I274" s="3">
        <v>8142</v>
      </c>
      <c r="J274" s="3">
        <v>164</v>
      </c>
      <c r="K274" s="3">
        <v>13</v>
      </c>
      <c r="L274" s="3">
        <v>33</v>
      </c>
      <c r="M274" s="3">
        <f t="shared" si="12"/>
        <v>210</v>
      </c>
      <c r="N274" s="4">
        <f t="shared" si="13"/>
        <v>3.0259365994236311E-2</v>
      </c>
      <c r="O274" s="4">
        <f t="shared" si="14"/>
        <v>0.25048725907745617</v>
      </c>
    </row>
    <row r="275" spans="1:15" x14ac:dyDescent="0.3">
      <c r="A275" s="2" t="s">
        <v>403</v>
      </c>
      <c r="B275" s="2" t="s">
        <v>402</v>
      </c>
      <c r="C275" s="2" t="s">
        <v>43</v>
      </c>
      <c r="D275" s="2" t="s">
        <v>18</v>
      </c>
      <c r="E275" s="2" t="s">
        <v>34</v>
      </c>
      <c r="F275" s="2" t="s">
        <v>79</v>
      </c>
      <c r="G275" s="3">
        <v>21063</v>
      </c>
      <c r="H275" s="3">
        <v>4691</v>
      </c>
      <c r="I275" s="3">
        <v>6745</v>
      </c>
      <c r="J275" s="3">
        <v>60</v>
      </c>
      <c r="K275" s="3">
        <v>5</v>
      </c>
      <c r="L275" s="3">
        <v>11</v>
      </c>
      <c r="M275" s="3">
        <f t="shared" si="12"/>
        <v>76</v>
      </c>
      <c r="N275" s="4">
        <f t="shared" si="13"/>
        <v>1.6201236410147091E-2</v>
      </c>
      <c r="O275" s="4">
        <f t="shared" si="14"/>
        <v>0.22271281393913497</v>
      </c>
    </row>
    <row r="276" spans="1:15" x14ac:dyDescent="0.3">
      <c r="A276" s="2" t="s">
        <v>404</v>
      </c>
      <c r="B276" s="2" t="s">
        <v>402</v>
      </c>
      <c r="C276" s="2" t="s">
        <v>49</v>
      </c>
      <c r="D276" s="2" t="s">
        <v>23</v>
      </c>
      <c r="E276" s="2" t="s">
        <v>19</v>
      </c>
      <c r="F276" s="2" t="s">
        <v>25</v>
      </c>
      <c r="G276" s="3">
        <v>35613</v>
      </c>
      <c r="H276" s="3">
        <v>5611</v>
      </c>
      <c r="I276" s="3">
        <v>9807</v>
      </c>
      <c r="J276" s="3">
        <v>214</v>
      </c>
      <c r="K276" s="3">
        <v>22</v>
      </c>
      <c r="L276" s="3">
        <v>50</v>
      </c>
      <c r="M276" s="3">
        <f t="shared" si="12"/>
        <v>286</v>
      </c>
      <c r="N276" s="4">
        <f t="shared" si="13"/>
        <v>5.0971306362502231E-2</v>
      </c>
      <c r="O276" s="4">
        <f t="shared" si="14"/>
        <v>0.15755482548507568</v>
      </c>
    </row>
    <row r="277" spans="1:15" x14ac:dyDescent="0.3">
      <c r="A277" s="2" t="s">
        <v>405</v>
      </c>
      <c r="B277" s="2" t="s">
        <v>402</v>
      </c>
      <c r="C277" s="2" t="s">
        <v>55</v>
      </c>
      <c r="D277" s="2" t="s">
        <v>23</v>
      </c>
      <c r="E277" s="2" t="s">
        <v>34</v>
      </c>
      <c r="F277" s="2" t="s">
        <v>41</v>
      </c>
      <c r="G277" s="3">
        <v>35845</v>
      </c>
      <c r="H277" s="3">
        <v>7082</v>
      </c>
      <c r="I277" s="3">
        <v>8551</v>
      </c>
      <c r="J277" s="3">
        <v>157</v>
      </c>
      <c r="K277" s="3">
        <v>17</v>
      </c>
      <c r="L277" s="3">
        <v>47</v>
      </c>
      <c r="M277" s="3">
        <f t="shared" si="12"/>
        <v>221</v>
      </c>
      <c r="N277" s="4">
        <f t="shared" si="13"/>
        <v>3.1205874046879412E-2</v>
      </c>
      <c r="O277" s="4">
        <f t="shared" si="14"/>
        <v>0.19757288324731484</v>
      </c>
    </row>
    <row r="278" spans="1:15" x14ac:dyDescent="0.3">
      <c r="A278" s="2" t="s">
        <v>406</v>
      </c>
      <c r="B278" s="2" t="s">
        <v>402</v>
      </c>
      <c r="C278" s="2" t="s">
        <v>55</v>
      </c>
      <c r="D278" s="2" t="s">
        <v>28</v>
      </c>
      <c r="E278" s="2" t="s">
        <v>19</v>
      </c>
      <c r="F278" s="2" t="s">
        <v>20</v>
      </c>
      <c r="G278" s="3">
        <v>48693</v>
      </c>
      <c r="H278" s="3">
        <v>43097</v>
      </c>
      <c r="I278" s="3">
        <v>61693</v>
      </c>
      <c r="J278" s="3">
        <v>868</v>
      </c>
      <c r="K278" s="3">
        <v>109</v>
      </c>
      <c r="L278" s="3">
        <v>154</v>
      </c>
      <c r="M278" s="3">
        <f t="shared" si="12"/>
        <v>1131</v>
      </c>
      <c r="N278" s="4">
        <f t="shared" si="13"/>
        <v>2.6243125971645357E-2</v>
      </c>
      <c r="O278" s="4">
        <f t="shared" si="14"/>
        <v>0.88507588359723166</v>
      </c>
    </row>
    <row r="279" spans="1:15" x14ac:dyDescent="0.3">
      <c r="A279" s="2" t="s">
        <v>407</v>
      </c>
      <c r="B279" s="2" t="s">
        <v>402</v>
      </c>
      <c r="C279" s="2" t="s">
        <v>64</v>
      </c>
      <c r="D279" s="2" t="s">
        <v>28</v>
      </c>
      <c r="E279" s="2" t="s">
        <v>29</v>
      </c>
      <c r="F279" s="2" t="s">
        <v>30</v>
      </c>
      <c r="G279" s="3">
        <v>48700</v>
      </c>
      <c r="H279" s="3">
        <v>24442</v>
      </c>
      <c r="I279" s="3">
        <v>33234</v>
      </c>
      <c r="J279" s="3">
        <v>639</v>
      </c>
      <c r="K279" s="3">
        <v>51</v>
      </c>
      <c r="L279" s="3">
        <v>253</v>
      </c>
      <c r="M279" s="3">
        <f t="shared" si="12"/>
        <v>943</v>
      </c>
      <c r="N279" s="4">
        <f t="shared" si="13"/>
        <v>3.8581130840356762E-2</v>
      </c>
      <c r="O279" s="4">
        <f t="shared" si="14"/>
        <v>0.50188911704312111</v>
      </c>
    </row>
    <row r="280" spans="1:15" x14ac:dyDescent="0.3">
      <c r="A280" s="2" t="s">
        <v>408</v>
      </c>
      <c r="B280" s="2" t="s">
        <v>409</v>
      </c>
      <c r="C280" s="2" t="s">
        <v>45</v>
      </c>
      <c r="D280" s="2" t="s">
        <v>33</v>
      </c>
      <c r="E280" s="2" t="s">
        <v>29</v>
      </c>
      <c r="F280" s="2" t="s">
        <v>67</v>
      </c>
      <c r="G280" s="3">
        <v>27897</v>
      </c>
      <c r="H280" s="3">
        <v>10267</v>
      </c>
      <c r="I280" s="3">
        <v>11988</v>
      </c>
      <c r="J280" s="3">
        <v>428</v>
      </c>
      <c r="K280" s="3">
        <v>50</v>
      </c>
      <c r="L280" s="3">
        <v>77</v>
      </c>
      <c r="M280" s="3">
        <f t="shared" si="12"/>
        <v>555</v>
      </c>
      <c r="N280" s="4">
        <f t="shared" si="13"/>
        <v>5.4056686471218467E-2</v>
      </c>
      <c r="O280" s="4">
        <f t="shared" si="14"/>
        <v>0.36803240491809153</v>
      </c>
    </row>
    <row r="281" spans="1:15" x14ac:dyDescent="0.3">
      <c r="A281" s="2" t="s">
        <v>410</v>
      </c>
      <c r="B281" s="2" t="s">
        <v>409</v>
      </c>
      <c r="C281" s="2" t="s">
        <v>43</v>
      </c>
      <c r="D281" s="2" t="s">
        <v>18</v>
      </c>
      <c r="E281" s="2" t="s">
        <v>40</v>
      </c>
      <c r="F281" s="2" t="s">
        <v>41</v>
      </c>
      <c r="G281" s="3">
        <v>21408</v>
      </c>
      <c r="H281" s="3">
        <v>5082</v>
      </c>
      <c r="I281" s="3">
        <v>8921</v>
      </c>
      <c r="J281" s="3">
        <v>226</v>
      </c>
      <c r="K281" s="3">
        <v>26</v>
      </c>
      <c r="L281" s="3">
        <v>79</v>
      </c>
      <c r="M281" s="3">
        <f t="shared" si="12"/>
        <v>331</v>
      </c>
      <c r="N281" s="4">
        <f t="shared" si="13"/>
        <v>6.5131837859110586E-2</v>
      </c>
      <c r="O281" s="4">
        <f t="shared" si="14"/>
        <v>0.23738789237668162</v>
      </c>
    </row>
    <row r="282" spans="1:15" x14ac:dyDescent="0.3">
      <c r="A282" s="2" t="s">
        <v>411</v>
      </c>
      <c r="B282" s="2" t="s">
        <v>409</v>
      </c>
      <c r="C282" s="2" t="s">
        <v>64</v>
      </c>
      <c r="D282" s="2" t="s">
        <v>18</v>
      </c>
      <c r="E282" s="2" t="s">
        <v>46</v>
      </c>
      <c r="F282" s="2" t="s">
        <v>67</v>
      </c>
      <c r="G282" s="3">
        <v>21019</v>
      </c>
      <c r="H282" s="3">
        <v>5887</v>
      </c>
      <c r="I282" s="3">
        <v>9774</v>
      </c>
      <c r="J282" s="3">
        <v>118</v>
      </c>
      <c r="K282" s="3">
        <v>9</v>
      </c>
      <c r="L282" s="3">
        <v>33</v>
      </c>
      <c r="M282" s="3">
        <f t="shared" si="12"/>
        <v>160</v>
      </c>
      <c r="N282" s="4">
        <f t="shared" si="13"/>
        <v>2.7178528962119926E-2</v>
      </c>
      <c r="O282" s="4">
        <f t="shared" si="14"/>
        <v>0.28007992768447593</v>
      </c>
    </row>
    <row r="283" spans="1:15" x14ac:dyDescent="0.3">
      <c r="A283" s="2" t="s">
        <v>412</v>
      </c>
      <c r="B283" s="2" t="s">
        <v>409</v>
      </c>
      <c r="C283" s="2" t="s">
        <v>45</v>
      </c>
      <c r="D283" s="2" t="s">
        <v>23</v>
      </c>
      <c r="E283" s="2" t="s">
        <v>19</v>
      </c>
      <c r="F283" s="2" t="s">
        <v>25</v>
      </c>
      <c r="G283" s="3">
        <v>35263</v>
      </c>
      <c r="H283" s="3">
        <v>4911</v>
      </c>
      <c r="I283" s="3">
        <v>8799</v>
      </c>
      <c r="J283" s="3">
        <v>175</v>
      </c>
      <c r="K283" s="3">
        <v>24</v>
      </c>
      <c r="L283" s="3">
        <v>21</v>
      </c>
      <c r="M283" s="3">
        <f t="shared" si="12"/>
        <v>220</v>
      </c>
      <c r="N283" s="4">
        <f t="shared" si="13"/>
        <v>4.4797393606190186E-2</v>
      </c>
      <c r="O283" s="4">
        <f t="shared" si="14"/>
        <v>0.13926778776621387</v>
      </c>
    </row>
    <row r="284" spans="1:15" x14ac:dyDescent="0.3">
      <c r="A284" s="2" t="s">
        <v>413</v>
      </c>
      <c r="B284" s="2" t="s">
        <v>409</v>
      </c>
      <c r="C284" s="2" t="s">
        <v>73</v>
      </c>
      <c r="D284" s="2" t="s">
        <v>50</v>
      </c>
      <c r="E284" s="2" t="s">
        <v>34</v>
      </c>
      <c r="F284" s="2" t="s">
        <v>30</v>
      </c>
      <c r="G284" s="3">
        <v>11266</v>
      </c>
      <c r="H284" s="3">
        <v>2381</v>
      </c>
      <c r="I284" s="3">
        <v>3162</v>
      </c>
      <c r="J284" s="3">
        <v>46</v>
      </c>
      <c r="K284" s="3">
        <v>8</v>
      </c>
      <c r="L284" s="3">
        <v>11</v>
      </c>
      <c r="M284" s="3">
        <f t="shared" si="12"/>
        <v>65</v>
      </c>
      <c r="N284" s="4">
        <f t="shared" si="13"/>
        <v>2.7299454010919783E-2</v>
      </c>
      <c r="O284" s="4">
        <f t="shared" si="14"/>
        <v>0.21134386650097639</v>
      </c>
    </row>
    <row r="285" spans="1:15" x14ac:dyDescent="0.3">
      <c r="A285" s="2" t="s">
        <v>414</v>
      </c>
      <c r="B285" s="2" t="s">
        <v>415</v>
      </c>
      <c r="C285" s="2" t="s">
        <v>52</v>
      </c>
      <c r="D285" s="2" t="s">
        <v>33</v>
      </c>
      <c r="E285" s="2" t="s">
        <v>40</v>
      </c>
      <c r="F285" s="2" t="s">
        <v>20</v>
      </c>
      <c r="G285" s="3">
        <v>27937</v>
      </c>
      <c r="H285" s="3">
        <v>9463</v>
      </c>
      <c r="I285" s="3">
        <v>15432</v>
      </c>
      <c r="J285" s="3">
        <v>786</v>
      </c>
      <c r="K285" s="3">
        <v>64</v>
      </c>
      <c r="L285" s="3">
        <v>221</v>
      </c>
      <c r="M285" s="3">
        <f t="shared" si="12"/>
        <v>1071</v>
      </c>
      <c r="N285" s="4">
        <f t="shared" si="13"/>
        <v>0.11317763922646096</v>
      </c>
      <c r="O285" s="4">
        <f t="shared" si="14"/>
        <v>0.33872642015964494</v>
      </c>
    </row>
    <row r="286" spans="1:15" x14ac:dyDescent="0.3">
      <c r="A286" s="2" t="s">
        <v>416</v>
      </c>
      <c r="B286" s="2" t="s">
        <v>415</v>
      </c>
      <c r="C286" s="2" t="s">
        <v>83</v>
      </c>
      <c r="D286" s="2" t="s">
        <v>28</v>
      </c>
      <c r="E286" s="2" t="s">
        <v>24</v>
      </c>
      <c r="F286" s="2" t="s">
        <v>47</v>
      </c>
      <c r="G286" s="3">
        <v>47678</v>
      </c>
      <c r="H286" s="3">
        <v>20454</v>
      </c>
      <c r="I286" s="3">
        <v>24559</v>
      </c>
      <c r="J286" s="3">
        <v>472</v>
      </c>
      <c r="K286" s="3">
        <v>100</v>
      </c>
      <c r="L286" s="3">
        <v>149</v>
      </c>
      <c r="M286" s="3">
        <f t="shared" si="12"/>
        <v>721</v>
      </c>
      <c r="N286" s="4">
        <f t="shared" si="13"/>
        <v>3.5249828884325804E-2</v>
      </c>
      <c r="O286" s="4">
        <f t="shared" si="14"/>
        <v>0.42900289441671213</v>
      </c>
    </row>
    <row r="287" spans="1:15" x14ac:dyDescent="0.3">
      <c r="A287" s="2" t="s">
        <v>417</v>
      </c>
      <c r="B287" s="2" t="s">
        <v>418</v>
      </c>
      <c r="C287" s="2" t="s">
        <v>17</v>
      </c>
      <c r="D287" s="2" t="s">
        <v>18</v>
      </c>
      <c r="E287" s="2" t="s">
        <v>29</v>
      </c>
      <c r="F287" s="2" t="s">
        <v>79</v>
      </c>
      <c r="G287" s="3">
        <v>20678</v>
      </c>
      <c r="H287" s="3">
        <v>5448</v>
      </c>
      <c r="I287" s="3">
        <v>7148</v>
      </c>
      <c r="J287" s="3">
        <v>156</v>
      </c>
      <c r="K287" s="3">
        <v>12</v>
      </c>
      <c r="L287" s="3">
        <v>39</v>
      </c>
      <c r="M287" s="3">
        <f t="shared" si="12"/>
        <v>207</v>
      </c>
      <c r="N287" s="4">
        <f t="shared" si="13"/>
        <v>3.7995594713656385E-2</v>
      </c>
      <c r="O287" s="4">
        <f t="shared" si="14"/>
        <v>0.26346842054357289</v>
      </c>
    </row>
    <row r="288" spans="1:15" x14ac:dyDescent="0.3">
      <c r="A288" s="2" t="s">
        <v>419</v>
      </c>
      <c r="B288" s="2" t="s">
        <v>418</v>
      </c>
      <c r="C288" s="2" t="s">
        <v>27</v>
      </c>
      <c r="D288" s="2" t="s">
        <v>23</v>
      </c>
      <c r="E288" s="2" t="s">
        <v>40</v>
      </c>
      <c r="F288" s="2" t="s">
        <v>79</v>
      </c>
      <c r="G288" s="3">
        <v>35579</v>
      </c>
      <c r="H288" s="3">
        <v>4922</v>
      </c>
      <c r="I288" s="3">
        <v>7638</v>
      </c>
      <c r="J288" s="3">
        <v>155</v>
      </c>
      <c r="K288" s="3">
        <v>24</v>
      </c>
      <c r="L288" s="3">
        <v>22</v>
      </c>
      <c r="M288" s="3">
        <f t="shared" si="12"/>
        <v>201</v>
      </c>
      <c r="N288" s="4">
        <f t="shared" si="13"/>
        <v>4.0837058106460787E-2</v>
      </c>
      <c r="O288" s="4">
        <f t="shared" si="14"/>
        <v>0.13834003204137271</v>
      </c>
    </row>
    <row r="289" spans="1:15" x14ac:dyDescent="0.3">
      <c r="A289" s="2" t="s">
        <v>420</v>
      </c>
      <c r="B289" s="2" t="s">
        <v>421</v>
      </c>
      <c r="C289" s="2" t="s">
        <v>39</v>
      </c>
      <c r="D289" s="2" t="s">
        <v>33</v>
      </c>
      <c r="E289" s="2" t="s">
        <v>29</v>
      </c>
      <c r="F289" s="2" t="s">
        <v>41</v>
      </c>
      <c r="G289" s="3">
        <v>28010</v>
      </c>
      <c r="H289" s="3">
        <v>11479</v>
      </c>
      <c r="I289" s="3">
        <v>19692</v>
      </c>
      <c r="J289" s="3">
        <v>152</v>
      </c>
      <c r="K289" s="3">
        <v>29</v>
      </c>
      <c r="L289" s="3">
        <v>43</v>
      </c>
      <c r="M289" s="3">
        <f t="shared" si="12"/>
        <v>224</v>
      </c>
      <c r="N289" s="4">
        <f t="shared" si="13"/>
        <v>1.9513894938583499E-2</v>
      </c>
      <c r="O289" s="4">
        <f t="shared" si="14"/>
        <v>0.40981792217065333</v>
      </c>
    </row>
    <row r="290" spans="1:15" x14ac:dyDescent="0.3">
      <c r="A290" s="2" t="s">
        <v>422</v>
      </c>
      <c r="B290" s="2" t="s">
        <v>421</v>
      </c>
      <c r="C290" s="2" t="s">
        <v>83</v>
      </c>
      <c r="D290" s="2" t="s">
        <v>18</v>
      </c>
      <c r="E290" s="2" t="s">
        <v>29</v>
      </c>
      <c r="F290" s="2" t="s">
        <v>25</v>
      </c>
      <c r="G290" s="3">
        <v>20924</v>
      </c>
      <c r="H290" s="3">
        <v>5538</v>
      </c>
      <c r="I290" s="3">
        <v>8049</v>
      </c>
      <c r="J290" s="3">
        <v>193</v>
      </c>
      <c r="K290" s="3">
        <v>15</v>
      </c>
      <c r="L290" s="3">
        <v>81</v>
      </c>
      <c r="M290" s="3">
        <f t="shared" si="12"/>
        <v>289</v>
      </c>
      <c r="N290" s="4">
        <f t="shared" si="13"/>
        <v>5.2184904297580353E-2</v>
      </c>
      <c r="O290" s="4">
        <f t="shared" si="14"/>
        <v>0.2646721468170522</v>
      </c>
    </row>
    <row r="291" spans="1:15" x14ac:dyDescent="0.3">
      <c r="A291" s="2" t="s">
        <v>423</v>
      </c>
      <c r="B291" s="2" t="s">
        <v>421</v>
      </c>
      <c r="C291" s="2" t="s">
        <v>39</v>
      </c>
      <c r="D291" s="2" t="s">
        <v>23</v>
      </c>
      <c r="E291" s="2" t="s">
        <v>40</v>
      </c>
      <c r="F291" s="2" t="s">
        <v>79</v>
      </c>
      <c r="G291" s="3">
        <v>35742</v>
      </c>
      <c r="H291" s="3">
        <v>7050</v>
      </c>
      <c r="I291" s="3">
        <v>9031</v>
      </c>
      <c r="J291" s="3">
        <v>391</v>
      </c>
      <c r="K291" s="3">
        <v>31</v>
      </c>
      <c r="L291" s="3">
        <v>168</v>
      </c>
      <c r="M291" s="3">
        <f t="shared" si="12"/>
        <v>590</v>
      </c>
      <c r="N291" s="4">
        <f t="shared" si="13"/>
        <v>8.3687943262411343E-2</v>
      </c>
      <c r="O291" s="4">
        <f t="shared" si="14"/>
        <v>0.19724693637737117</v>
      </c>
    </row>
    <row r="292" spans="1:15" x14ac:dyDescent="0.3">
      <c r="A292" s="2" t="s">
        <v>424</v>
      </c>
      <c r="B292" s="2" t="s">
        <v>421</v>
      </c>
      <c r="C292" s="2" t="s">
        <v>55</v>
      </c>
      <c r="D292" s="2" t="s">
        <v>50</v>
      </c>
      <c r="E292" s="2" t="s">
        <v>19</v>
      </c>
      <c r="F292" s="2" t="s">
        <v>25</v>
      </c>
      <c r="G292" s="3">
        <v>11436</v>
      </c>
      <c r="H292" s="3">
        <v>3154</v>
      </c>
      <c r="I292" s="3">
        <v>4063</v>
      </c>
      <c r="J292" s="3">
        <v>89</v>
      </c>
      <c r="K292" s="3">
        <v>17</v>
      </c>
      <c r="L292" s="3">
        <v>31</v>
      </c>
      <c r="M292" s="3">
        <f t="shared" si="12"/>
        <v>137</v>
      </c>
      <c r="N292" s="4">
        <f t="shared" si="13"/>
        <v>4.3436905516804056E-2</v>
      </c>
      <c r="O292" s="4">
        <f t="shared" si="14"/>
        <v>0.27579573277369712</v>
      </c>
    </row>
    <row r="293" spans="1:15" x14ac:dyDescent="0.3">
      <c r="A293" s="2" t="s">
        <v>425</v>
      </c>
      <c r="B293" s="2" t="s">
        <v>421</v>
      </c>
      <c r="C293" s="2" t="s">
        <v>55</v>
      </c>
      <c r="D293" s="2" t="s">
        <v>28</v>
      </c>
      <c r="E293" s="2" t="s">
        <v>46</v>
      </c>
      <c r="F293" s="2" t="s">
        <v>20</v>
      </c>
      <c r="G293" s="3">
        <v>48925</v>
      </c>
      <c r="H293" s="3">
        <v>12500</v>
      </c>
      <c r="I293" s="3">
        <v>15958</v>
      </c>
      <c r="J293" s="3">
        <v>267</v>
      </c>
      <c r="K293" s="3">
        <v>56</v>
      </c>
      <c r="L293" s="3">
        <v>61</v>
      </c>
      <c r="M293" s="3">
        <f t="shared" si="12"/>
        <v>384</v>
      </c>
      <c r="N293" s="4">
        <f t="shared" si="13"/>
        <v>3.0720000000000001E-2</v>
      </c>
      <c r="O293" s="4">
        <f t="shared" si="14"/>
        <v>0.2554931016862545</v>
      </c>
    </row>
    <row r="294" spans="1:15" x14ac:dyDescent="0.3">
      <c r="A294" s="2" t="s">
        <v>426</v>
      </c>
      <c r="B294" s="2" t="s">
        <v>427</v>
      </c>
      <c r="C294" s="2" t="s">
        <v>27</v>
      </c>
      <c r="D294" s="2" t="s">
        <v>33</v>
      </c>
      <c r="E294" s="2" t="s">
        <v>29</v>
      </c>
      <c r="F294" s="2" t="s">
        <v>47</v>
      </c>
      <c r="G294" s="3">
        <v>28186</v>
      </c>
      <c r="H294" s="3">
        <v>8625</v>
      </c>
      <c r="I294" s="3">
        <v>13576</v>
      </c>
      <c r="J294" s="3">
        <v>382</v>
      </c>
      <c r="K294" s="3">
        <v>32</v>
      </c>
      <c r="L294" s="3">
        <v>125</v>
      </c>
      <c r="M294" s="3">
        <f t="shared" si="12"/>
        <v>539</v>
      </c>
      <c r="N294" s="4">
        <f t="shared" si="13"/>
        <v>6.2492753623188409E-2</v>
      </c>
      <c r="O294" s="4">
        <f t="shared" si="14"/>
        <v>0.30600298020293765</v>
      </c>
    </row>
    <row r="295" spans="1:15" x14ac:dyDescent="0.3">
      <c r="A295" s="2" t="s">
        <v>428</v>
      </c>
      <c r="B295" s="2" t="s">
        <v>429</v>
      </c>
      <c r="C295" s="2" t="s">
        <v>55</v>
      </c>
      <c r="D295" s="2" t="s">
        <v>18</v>
      </c>
      <c r="E295" s="2" t="s">
        <v>40</v>
      </c>
      <c r="F295" s="2" t="s">
        <v>30</v>
      </c>
      <c r="G295" s="3">
        <v>21042</v>
      </c>
      <c r="H295" s="3">
        <v>3267</v>
      </c>
      <c r="I295" s="3">
        <v>4337</v>
      </c>
      <c r="J295" s="3">
        <v>107</v>
      </c>
      <c r="K295" s="3">
        <v>20</v>
      </c>
      <c r="L295" s="3">
        <v>16</v>
      </c>
      <c r="M295" s="3">
        <f t="shared" si="12"/>
        <v>143</v>
      </c>
      <c r="N295" s="4">
        <f t="shared" si="13"/>
        <v>4.3771043771043773E-2</v>
      </c>
      <c r="O295" s="4">
        <f t="shared" si="14"/>
        <v>0.15526090675791274</v>
      </c>
    </row>
    <row r="296" spans="1:15" x14ac:dyDescent="0.3">
      <c r="A296" s="2" t="s">
        <v>430</v>
      </c>
      <c r="B296" s="2" t="s">
        <v>429</v>
      </c>
      <c r="C296" s="2" t="s">
        <v>55</v>
      </c>
      <c r="D296" s="2" t="s">
        <v>23</v>
      </c>
      <c r="E296" s="2" t="s">
        <v>19</v>
      </c>
      <c r="F296" s="2" t="s">
        <v>67</v>
      </c>
      <c r="G296" s="3">
        <v>36518</v>
      </c>
      <c r="H296" s="3">
        <v>7023</v>
      </c>
      <c r="I296" s="3">
        <v>10675</v>
      </c>
      <c r="J296" s="3">
        <v>306</v>
      </c>
      <c r="K296" s="3">
        <v>49</v>
      </c>
      <c r="L296" s="3">
        <v>53</v>
      </c>
      <c r="M296" s="3">
        <f t="shared" si="12"/>
        <v>408</v>
      </c>
      <c r="N296" s="4">
        <f t="shared" si="13"/>
        <v>5.8094831268688592E-2</v>
      </c>
      <c r="O296" s="4">
        <f t="shared" si="14"/>
        <v>0.19231611807875568</v>
      </c>
    </row>
    <row r="297" spans="1:15" x14ac:dyDescent="0.3">
      <c r="A297" s="2" t="s">
        <v>431</v>
      </c>
      <c r="B297" s="2" t="s">
        <v>429</v>
      </c>
      <c r="C297" s="2" t="s">
        <v>17</v>
      </c>
      <c r="D297" s="2" t="s">
        <v>23</v>
      </c>
      <c r="E297" s="2" t="s">
        <v>40</v>
      </c>
      <c r="F297" s="2" t="s">
        <v>35</v>
      </c>
      <c r="G297" s="3">
        <v>35730</v>
      </c>
      <c r="H297" s="3">
        <v>4952</v>
      </c>
      <c r="I297" s="3">
        <v>6793</v>
      </c>
      <c r="J297" s="3">
        <v>99</v>
      </c>
      <c r="K297" s="3">
        <v>14</v>
      </c>
      <c r="L297" s="3">
        <v>18</v>
      </c>
      <c r="M297" s="3">
        <f t="shared" si="12"/>
        <v>131</v>
      </c>
      <c r="N297" s="4">
        <f t="shared" si="13"/>
        <v>2.6453957996768983E-2</v>
      </c>
      <c r="O297" s="4">
        <f t="shared" si="14"/>
        <v>0.13859501819199552</v>
      </c>
    </row>
    <row r="298" spans="1:15" x14ac:dyDescent="0.3">
      <c r="A298" s="2" t="s">
        <v>432</v>
      </c>
      <c r="B298" s="2" t="s">
        <v>429</v>
      </c>
      <c r="C298" s="2" t="s">
        <v>22</v>
      </c>
      <c r="D298" s="2" t="s">
        <v>50</v>
      </c>
      <c r="E298" s="2" t="s">
        <v>46</v>
      </c>
      <c r="F298" s="2" t="s">
        <v>47</v>
      </c>
      <c r="G298" s="3">
        <v>11590</v>
      </c>
      <c r="H298" s="3">
        <v>3181</v>
      </c>
      <c r="I298" s="3">
        <v>4628</v>
      </c>
      <c r="J298" s="3">
        <v>78</v>
      </c>
      <c r="K298" s="3">
        <v>13</v>
      </c>
      <c r="L298" s="3">
        <v>10</v>
      </c>
      <c r="M298" s="3">
        <f t="shared" si="12"/>
        <v>101</v>
      </c>
      <c r="N298" s="4">
        <f t="shared" si="13"/>
        <v>3.1751021691292049E-2</v>
      </c>
      <c r="O298" s="4">
        <f t="shared" si="14"/>
        <v>0.27446074201898191</v>
      </c>
    </row>
    <row r="299" spans="1:15" x14ac:dyDescent="0.3">
      <c r="A299" s="2" t="s">
        <v>433</v>
      </c>
      <c r="B299" s="2" t="s">
        <v>429</v>
      </c>
      <c r="C299" s="2" t="s">
        <v>17</v>
      </c>
      <c r="D299" s="2" t="s">
        <v>28</v>
      </c>
      <c r="E299" s="2" t="s">
        <v>46</v>
      </c>
      <c r="F299" s="2" t="s">
        <v>35</v>
      </c>
      <c r="G299" s="3">
        <v>49319</v>
      </c>
      <c r="H299" s="3">
        <v>30250</v>
      </c>
      <c r="I299" s="3">
        <v>52599</v>
      </c>
      <c r="J299" s="3">
        <v>820</v>
      </c>
      <c r="K299" s="3">
        <v>120</v>
      </c>
      <c r="L299" s="3">
        <v>105</v>
      </c>
      <c r="M299" s="3">
        <f t="shared" si="12"/>
        <v>1045</v>
      </c>
      <c r="N299" s="4">
        <f t="shared" si="13"/>
        <v>3.4545454545454546E-2</v>
      </c>
      <c r="O299" s="4">
        <f t="shared" si="14"/>
        <v>0.61335387984346801</v>
      </c>
    </row>
    <row r="300" spans="1:15" x14ac:dyDescent="0.3">
      <c r="A300" s="2" t="s">
        <v>434</v>
      </c>
      <c r="B300" s="2" t="s">
        <v>435</v>
      </c>
      <c r="C300" s="2" t="s">
        <v>55</v>
      </c>
      <c r="D300" s="2" t="s">
        <v>33</v>
      </c>
      <c r="E300" s="2" t="s">
        <v>29</v>
      </c>
      <c r="F300" s="2" t="s">
        <v>41</v>
      </c>
      <c r="G300" s="3">
        <v>28886</v>
      </c>
      <c r="H300" s="3">
        <v>7783</v>
      </c>
      <c r="I300" s="3">
        <v>9980</v>
      </c>
      <c r="J300" s="3">
        <v>204</v>
      </c>
      <c r="K300" s="3">
        <v>25</v>
      </c>
      <c r="L300" s="3">
        <v>34</v>
      </c>
      <c r="M300" s="3">
        <f t="shared" si="12"/>
        <v>263</v>
      </c>
      <c r="N300" s="4">
        <f t="shared" si="13"/>
        <v>3.3791597070538353E-2</v>
      </c>
      <c r="O300" s="4">
        <f t="shared" si="14"/>
        <v>0.26943848230976941</v>
      </c>
    </row>
    <row r="301" spans="1:15" x14ac:dyDescent="0.3">
      <c r="A301" s="2" t="s">
        <v>436</v>
      </c>
      <c r="B301" s="2" t="s">
        <v>435</v>
      </c>
      <c r="C301" s="2" t="s">
        <v>17</v>
      </c>
      <c r="D301" s="2" t="s">
        <v>50</v>
      </c>
      <c r="E301" s="2" t="s">
        <v>24</v>
      </c>
      <c r="F301" s="2" t="s">
        <v>30</v>
      </c>
      <c r="G301" s="3">
        <v>11590</v>
      </c>
      <c r="H301" s="3">
        <v>2408</v>
      </c>
      <c r="I301" s="3">
        <v>3151</v>
      </c>
      <c r="J301" s="3">
        <v>22</v>
      </c>
      <c r="K301" s="3">
        <v>1</v>
      </c>
      <c r="L301" s="3">
        <v>6</v>
      </c>
      <c r="M301" s="3">
        <f t="shared" si="12"/>
        <v>29</v>
      </c>
      <c r="N301" s="4">
        <f t="shared" si="13"/>
        <v>1.2043189368770765E-2</v>
      </c>
      <c r="O301" s="4">
        <f t="shared" si="14"/>
        <v>0.20776531492666092</v>
      </c>
    </row>
    <row r="302" spans="1:15" x14ac:dyDescent="0.3">
      <c r="A302" s="2" t="s">
        <v>437</v>
      </c>
      <c r="B302" s="2" t="s">
        <v>435</v>
      </c>
      <c r="C302" s="2" t="s">
        <v>55</v>
      </c>
      <c r="D302" s="2" t="s">
        <v>28</v>
      </c>
      <c r="E302" s="2" t="s">
        <v>40</v>
      </c>
      <c r="F302" s="2" t="s">
        <v>20</v>
      </c>
      <c r="G302" s="3">
        <v>48595</v>
      </c>
      <c r="H302" s="3">
        <v>34754</v>
      </c>
      <c r="I302" s="3">
        <v>57179</v>
      </c>
      <c r="J302" s="3">
        <v>1529</v>
      </c>
      <c r="K302" s="3">
        <v>139</v>
      </c>
      <c r="L302" s="3">
        <v>386</v>
      </c>
      <c r="M302" s="3">
        <f t="shared" si="12"/>
        <v>2054</v>
      </c>
      <c r="N302" s="4">
        <f t="shared" si="13"/>
        <v>5.9101110663520744E-2</v>
      </c>
      <c r="O302" s="4">
        <f t="shared" si="14"/>
        <v>0.71517645848338307</v>
      </c>
    </row>
    <row r="303" spans="1:15" x14ac:dyDescent="0.3">
      <c r="A303" s="2" t="s">
        <v>438</v>
      </c>
      <c r="B303" s="2" t="s">
        <v>439</v>
      </c>
      <c r="C303" s="2" t="s">
        <v>43</v>
      </c>
      <c r="D303" s="2" t="s">
        <v>33</v>
      </c>
      <c r="E303" s="2" t="s">
        <v>19</v>
      </c>
      <c r="F303" s="2" t="s">
        <v>20</v>
      </c>
      <c r="G303" s="3">
        <v>28688</v>
      </c>
      <c r="H303" s="3">
        <v>6391</v>
      </c>
      <c r="I303" s="3">
        <v>10542</v>
      </c>
      <c r="J303" s="3">
        <v>278</v>
      </c>
      <c r="K303" s="3">
        <v>38</v>
      </c>
      <c r="L303" s="3">
        <v>100</v>
      </c>
      <c r="M303" s="3">
        <f t="shared" si="12"/>
        <v>416</v>
      </c>
      <c r="N303" s="4">
        <f t="shared" si="13"/>
        <v>6.509153497105305E-2</v>
      </c>
      <c r="O303" s="4">
        <f t="shared" si="14"/>
        <v>0.22277607361963189</v>
      </c>
    </row>
    <row r="304" spans="1:15" x14ac:dyDescent="0.3">
      <c r="A304" s="2" t="s">
        <v>440</v>
      </c>
      <c r="B304" s="2" t="s">
        <v>439</v>
      </c>
      <c r="C304" s="2" t="s">
        <v>17</v>
      </c>
      <c r="D304" s="2" t="s">
        <v>18</v>
      </c>
      <c r="E304" s="2" t="s">
        <v>40</v>
      </c>
      <c r="F304" s="2" t="s">
        <v>67</v>
      </c>
      <c r="G304" s="3">
        <v>20853</v>
      </c>
      <c r="H304" s="3">
        <v>2916</v>
      </c>
      <c r="I304" s="3">
        <v>3969</v>
      </c>
      <c r="J304" s="3">
        <v>50</v>
      </c>
      <c r="K304" s="3">
        <v>9</v>
      </c>
      <c r="L304" s="3">
        <v>13</v>
      </c>
      <c r="M304" s="3">
        <f t="shared" si="12"/>
        <v>72</v>
      </c>
      <c r="N304" s="4">
        <f t="shared" si="13"/>
        <v>2.4691358024691357E-2</v>
      </c>
      <c r="O304" s="4">
        <f t="shared" si="14"/>
        <v>0.13983599482088907</v>
      </c>
    </row>
    <row r="305" spans="1:15" x14ac:dyDescent="0.3">
      <c r="A305" s="2" t="s">
        <v>441</v>
      </c>
      <c r="B305" s="2" t="s">
        <v>439</v>
      </c>
      <c r="C305" s="2" t="s">
        <v>49</v>
      </c>
      <c r="D305" s="2" t="s">
        <v>23</v>
      </c>
      <c r="E305" s="2" t="s">
        <v>46</v>
      </c>
      <c r="F305" s="2" t="s">
        <v>25</v>
      </c>
      <c r="G305" s="3">
        <v>35793</v>
      </c>
      <c r="H305" s="3">
        <v>7258</v>
      </c>
      <c r="I305" s="3">
        <v>9569</v>
      </c>
      <c r="J305" s="3">
        <v>61</v>
      </c>
      <c r="K305" s="3">
        <v>6</v>
      </c>
      <c r="L305" s="3">
        <v>18</v>
      </c>
      <c r="M305" s="3">
        <f t="shared" si="12"/>
        <v>85</v>
      </c>
      <c r="N305" s="4">
        <f t="shared" si="13"/>
        <v>1.1711215210801873E-2</v>
      </c>
      <c r="O305" s="4">
        <f t="shared" si="14"/>
        <v>0.20277707931718492</v>
      </c>
    </row>
    <row r="306" spans="1:15" x14ac:dyDescent="0.3">
      <c r="A306" s="2" t="s">
        <v>442</v>
      </c>
      <c r="B306" s="2" t="s">
        <v>439</v>
      </c>
      <c r="C306" s="2" t="s">
        <v>22</v>
      </c>
      <c r="D306" s="2" t="s">
        <v>23</v>
      </c>
      <c r="E306" s="2" t="s">
        <v>34</v>
      </c>
      <c r="F306" s="2" t="s">
        <v>35</v>
      </c>
      <c r="G306" s="3">
        <v>36838</v>
      </c>
      <c r="H306" s="3">
        <v>5298</v>
      </c>
      <c r="I306" s="3">
        <v>7757</v>
      </c>
      <c r="J306" s="3">
        <v>145</v>
      </c>
      <c r="K306" s="3">
        <v>24</v>
      </c>
      <c r="L306" s="3">
        <v>35</v>
      </c>
      <c r="M306" s="3">
        <f t="shared" si="12"/>
        <v>204</v>
      </c>
      <c r="N306" s="4">
        <f t="shared" si="13"/>
        <v>3.8505096262740658E-2</v>
      </c>
      <c r="O306" s="4">
        <f t="shared" si="14"/>
        <v>0.14381888267549814</v>
      </c>
    </row>
    <row r="307" spans="1:15" x14ac:dyDescent="0.3">
      <c r="A307" s="2" t="s">
        <v>443</v>
      </c>
      <c r="B307" s="2" t="s">
        <v>439</v>
      </c>
      <c r="C307" s="2" t="s">
        <v>17</v>
      </c>
      <c r="D307" s="2" t="s">
        <v>50</v>
      </c>
      <c r="E307" s="2" t="s">
        <v>29</v>
      </c>
      <c r="F307" s="2" t="s">
        <v>25</v>
      </c>
      <c r="G307" s="3">
        <v>11287</v>
      </c>
      <c r="H307" s="3">
        <v>3708</v>
      </c>
      <c r="I307" s="3">
        <v>6186</v>
      </c>
      <c r="J307" s="3">
        <v>47</v>
      </c>
      <c r="K307" s="3">
        <v>10</v>
      </c>
      <c r="L307" s="3">
        <v>13</v>
      </c>
      <c r="M307" s="3">
        <f t="shared" si="12"/>
        <v>70</v>
      </c>
      <c r="N307" s="4">
        <f t="shared" si="13"/>
        <v>1.8878101402373247E-2</v>
      </c>
      <c r="O307" s="4">
        <f t="shared" si="14"/>
        <v>0.32851953574909187</v>
      </c>
    </row>
    <row r="308" spans="1:15" x14ac:dyDescent="0.3">
      <c r="A308" s="2" t="s">
        <v>444</v>
      </c>
      <c r="B308" s="2" t="s">
        <v>445</v>
      </c>
      <c r="C308" s="2" t="s">
        <v>39</v>
      </c>
      <c r="D308" s="2" t="s">
        <v>18</v>
      </c>
      <c r="E308" s="2" t="s">
        <v>46</v>
      </c>
      <c r="F308" s="2" t="s">
        <v>67</v>
      </c>
      <c r="G308" s="3">
        <v>21173</v>
      </c>
      <c r="H308" s="3">
        <v>4828</v>
      </c>
      <c r="I308" s="3">
        <v>7917</v>
      </c>
      <c r="J308" s="3">
        <v>95</v>
      </c>
      <c r="K308" s="3">
        <v>8</v>
      </c>
      <c r="L308" s="3">
        <v>42</v>
      </c>
      <c r="M308" s="3">
        <f t="shared" si="12"/>
        <v>145</v>
      </c>
      <c r="N308" s="4">
        <f t="shared" si="13"/>
        <v>3.0033140016570009E-2</v>
      </c>
      <c r="O308" s="4">
        <f t="shared" si="14"/>
        <v>0.2280262598592547</v>
      </c>
    </row>
    <row r="309" spans="1:15" x14ac:dyDescent="0.3">
      <c r="A309" s="2" t="s">
        <v>446</v>
      </c>
      <c r="B309" s="2" t="s">
        <v>445</v>
      </c>
      <c r="C309" s="2" t="s">
        <v>49</v>
      </c>
      <c r="D309" s="2" t="s">
        <v>23</v>
      </c>
      <c r="E309" s="2" t="s">
        <v>40</v>
      </c>
      <c r="F309" s="2" t="s">
        <v>41</v>
      </c>
      <c r="G309" s="3">
        <v>35699</v>
      </c>
      <c r="H309" s="3">
        <v>4119</v>
      </c>
      <c r="I309" s="3">
        <v>6554</v>
      </c>
      <c r="J309" s="3">
        <v>123</v>
      </c>
      <c r="K309" s="3">
        <v>17</v>
      </c>
      <c r="L309" s="3">
        <v>49</v>
      </c>
      <c r="M309" s="3">
        <f t="shared" si="12"/>
        <v>189</v>
      </c>
      <c r="N309" s="4">
        <f t="shared" si="13"/>
        <v>4.5884923525127456E-2</v>
      </c>
      <c r="O309" s="4">
        <f t="shared" si="14"/>
        <v>0.11538138323202331</v>
      </c>
    </row>
    <row r="310" spans="1:15" x14ac:dyDescent="0.3">
      <c r="A310" s="2" t="s">
        <v>447</v>
      </c>
      <c r="B310" s="2" t="s">
        <v>445</v>
      </c>
      <c r="C310" s="2" t="s">
        <v>49</v>
      </c>
      <c r="D310" s="2" t="s">
        <v>23</v>
      </c>
      <c r="E310" s="2" t="s">
        <v>46</v>
      </c>
      <c r="F310" s="2" t="s">
        <v>35</v>
      </c>
      <c r="G310" s="3">
        <v>36423</v>
      </c>
      <c r="H310" s="3">
        <v>6486</v>
      </c>
      <c r="I310" s="3">
        <v>9036</v>
      </c>
      <c r="J310" s="3">
        <v>184</v>
      </c>
      <c r="K310" s="3">
        <v>19</v>
      </c>
      <c r="L310" s="3">
        <v>45</v>
      </c>
      <c r="M310" s="3">
        <f t="shared" si="12"/>
        <v>248</v>
      </c>
      <c r="N310" s="4">
        <f t="shared" si="13"/>
        <v>3.8236201048411966E-2</v>
      </c>
      <c r="O310" s="4">
        <f t="shared" si="14"/>
        <v>0.17807429371550942</v>
      </c>
    </row>
    <row r="311" spans="1:15" x14ac:dyDescent="0.3">
      <c r="A311" s="2" t="s">
        <v>448</v>
      </c>
      <c r="B311" s="2" t="s">
        <v>445</v>
      </c>
      <c r="C311" s="2" t="s">
        <v>17</v>
      </c>
      <c r="D311" s="2" t="s">
        <v>50</v>
      </c>
      <c r="E311" s="2" t="s">
        <v>29</v>
      </c>
      <c r="F311" s="2" t="s">
        <v>25</v>
      </c>
      <c r="G311" s="3">
        <v>11393</v>
      </c>
      <c r="H311" s="3">
        <v>2440</v>
      </c>
      <c r="I311" s="3">
        <v>2957</v>
      </c>
      <c r="J311" s="3">
        <v>107</v>
      </c>
      <c r="K311" s="3">
        <v>14</v>
      </c>
      <c r="L311" s="3">
        <v>22</v>
      </c>
      <c r="M311" s="3">
        <f t="shared" si="12"/>
        <v>143</v>
      </c>
      <c r="N311" s="4">
        <f t="shared" si="13"/>
        <v>5.860655737704918E-2</v>
      </c>
      <c r="O311" s="4">
        <f t="shared" si="14"/>
        <v>0.21416659352233827</v>
      </c>
    </row>
    <row r="312" spans="1:15" x14ac:dyDescent="0.3">
      <c r="A312" s="2" t="s">
        <v>449</v>
      </c>
      <c r="B312" s="2" t="s">
        <v>445</v>
      </c>
      <c r="C312" s="2" t="s">
        <v>52</v>
      </c>
      <c r="D312" s="2" t="s">
        <v>28</v>
      </c>
      <c r="E312" s="2" t="s">
        <v>34</v>
      </c>
      <c r="F312" s="2" t="s">
        <v>47</v>
      </c>
      <c r="G312" s="3">
        <v>48417</v>
      </c>
      <c r="H312" s="3">
        <v>14939</v>
      </c>
      <c r="I312" s="3">
        <v>21783</v>
      </c>
      <c r="J312" s="3">
        <v>523</v>
      </c>
      <c r="K312" s="3">
        <v>55</v>
      </c>
      <c r="L312" s="3">
        <v>182</v>
      </c>
      <c r="M312" s="3">
        <f t="shared" si="12"/>
        <v>760</v>
      </c>
      <c r="N312" s="4">
        <f t="shared" si="13"/>
        <v>5.0873552446616239E-2</v>
      </c>
      <c r="O312" s="4">
        <f t="shared" si="14"/>
        <v>0.30854865026746803</v>
      </c>
    </row>
    <row r="313" spans="1:15" x14ac:dyDescent="0.3">
      <c r="A313" s="2" t="s">
        <v>450</v>
      </c>
      <c r="B313" s="2" t="s">
        <v>451</v>
      </c>
      <c r="C313" s="2" t="s">
        <v>39</v>
      </c>
      <c r="D313" s="2" t="s">
        <v>33</v>
      </c>
      <c r="E313" s="2" t="s">
        <v>19</v>
      </c>
      <c r="F313" s="2" t="s">
        <v>67</v>
      </c>
      <c r="G313" s="3">
        <v>29093</v>
      </c>
      <c r="H313" s="3">
        <v>8066</v>
      </c>
      <c r="I313" s="3">
        <v>12693</v>
      </c>
      <c r="J313" s="3">
        <v>298</v>
      </c>
      <c r="K313" s="3">
        <v>53</v>
      </c>
      <c r="L313" s="3">
        <v>33</v>
      </c>
      <c r="M313" s="3">
        <f t="shared" si="12"/>
        <v>384</v>
      </c>
      <c r="N313" s="4">
        <f t="shared" si="13"/>
        <v>4.7607240267790729E-2</v>
      </c>
      <c r="O313" s="4">
        <f t="shared" si="14"/>
        <v>0.27724882274086549</v>
      </c>
    </row>
    <row r="314" spans="1:15" x14ac:dyDescent="0.3">
      <c r="A314" s="2" t="s">
        <v>452</v>
      </c>
      <c r="B314" s="2" t="s">
        <v>451</v>
      </c>
      <c r="C314" s="2" t="s">
        <v>49</v>
      </c>
      <c r="D314" s="2" t="s">
        <v>33</v>
      </c>
      <c r="E314" s="2" t="s">
        <v>19</v>
      </c>
      <c r="F314" s="2" t="s">
        <v>20</v>
      </c>
      <c r="G314" s="3">
        <v>28492</v>
      </c>
      <c r="H314" s="3">
        <v>12010</v>
      </c>
      <c r="I314" s="3">
        <v>21240</v>
      </c>
      <c r="J314" s="3">
        <v>356</v>
      </c>
      <c r="K314" s="3">
        <v>42</v>
      </c>
      <c r="L314" s="3">
        <v>107</v>
      </c>
      <c r="M314" s="3">
        <f t="shared" si="12"/>
        <v>505</v>
      </c>
      <c r="N314" s="4">
        <f t="shared" si="13"/>
        <v>4.2048293089092421E-2</v>
      </c>
      <c r="O314" s="4">
        <f t="shared" si="14"/>
        <v>0.42152183068931631</v>
      </c>
    </row>
    <row r="315" spans="1:15" x14ac:dyDescent="0.3">
      <c r="A315" s="2" t="s">
        <v>453</v>
      </c>
      <c r="B315" s="2" t="s">
        <v>451</v>
      </c>
      <c r="C315" s="2" t="s">
        <v>22</v>
      </c>
      <c r="D315" s="2" t="s">
        <v>18</v>
      </c>
      <c r="E315" s="2" t="s">
        <v>29</v>
      </c>
      <c r="F315" s="2" t="s">
        <v>41</v>
      </c>
      <c r="G315" s="3">
        <v>21474</v>
      </c>
      <c r="H315" s="3">
        <v>4201</v>
      </c>
      <c r="I315" s="3">
        <v>5861</v>
      </c>
      <c r="J315" s="3">
        <v>200</v>
      </c>
      <c r="K315" s="3">
        <v>36</v>
      </c>
      <c r="L315" s="3">
        <v>63</v>
      </c>
      <c r="M315" s="3">
        <f t="shared" si="12"/>
        <v>299</v>
      </c>
      <c r="N315" s="4">
        <f t="shared" si="13"/>
        <v>7.117353011187813E-2</v>
      </c>
      <c r="O315" s="4">
        <f t="shared" si="14"/>
        <v>0.19563192698146595</v>
      </c>
    </row>
    <row r="316" spans="1:15" x14ac:dyDescent="0.3">
      <c r="A316" s="2" t="s">
        <v>454</v>
      </c>
      <c r="B316" s="2" t="s">
        <v>451</v>
      </c>
      <c r="C316" s="2" t="s">
        <v>22</v>
      </c>
      <c r="D316" s="2" t="s">
        <v>23</v>
      </c>
      <c r="E316" s="2" t="s">
        <v>40</v>
      </c>
      <c r="F316" s="2" t="s">
        <v>47</v>
      </c>
      <c r="G316" s="3">
        <v>35838</v>
      </c>
      <c r="H316" s="3">
        <v>4772</v>
      </c>
      <c r="I316" s="3">
        <v>6447</v>
      </c>
      <c r="J316" s="3">
        <v>114</v>
      </c>
      <c r="K316" s="3">
        <v>21</v>
      </c>
      <c r="L316" s="3">
        <v>12</v>
      </c>
      <c r="M316" s="3">
        <f t="shared" si="12"/>
        <v>147</v>
      </c>
      <c r="N316" s="4">
        <f t="shared" si="13"/>
        <v>3.080469404861693E-2</v>
      </c>
      <c r="O316" s="4">
        <f t="shared" si="14"/>
        <v>0.13315475193928233</v>
      </c>
    </row>
    <row r="317" spans="1:15" x14ac:dyDescent="0.3">
      <c r="A317" s="2" t="s">
        <v>455</v>
      </c>
      <c r="B317" s="2" t="s">
        <v>451</v>
      </c>
      <c r="C317" s="2" t="s">
        <v>45</v>
      </c>
      <c r="D317" s="2" t="s">
        <v>50</v>
      </c>
      <c r="E317" s="2" t="s">
        <v>40</v>
      </c>
      <c r="F317" s="2" t="s">
        <v>47</v>
      </c>
      <c r="G317" s="3">
        <v>11267</v>
      </c>
      <c r="H317" s="3">
        <v>2029</v>
      </c>
      <c r="I317" s="3">
        <v>2678</v>
      </c>
      <c r="J317" s="3">
        <v>136</v>
      </c>
      <c r="K317" s="3">
        <v>19</v>
      </c>
      <c r="L317" s="3">
        <v>24</v>
      </c>
      <c r="M317" s="3">
        <f t="shared" si="12"/>
        <v>179</v>
      </c>
      <c r="N317" s="4">
        <f t="shared" si="13"/>
        <v>8.822079842286841E-2</v>
      </c>
      <c r="O317" s="4">
        <f t="shared" si="14"/>
        <v>0.18008342948433478</v>
      </c>
    </row>
    <row r="318" spans="1:15" x14ac:dyDescent="0.3">
      <c r="A318" s="2" t="s">
        <v>456</v>
      </c>
      <c r="B318" s="2" t="s">
        <v>451</v>
      </c>
      <c r="C318" s="2" t="s">
        <v>45</v>
      </c>
      <c r="D318" s="2" t="s">
        <v>28</v>
      </c>
      <c r="E318" s="2" t="s">
        <v>29</v>
      </c>
      <c r="F318" s="2" t="s">
        <v>30</v>
      </c>
      <c r="G318" s="3">
        <v>49049</v>
      </c>
      <c r="H318" s="3">
        <v>35429</v>
      </c>
      <c r="I318" s="3">
        <v>50923</v>
      </c>
      <c r="J318" s="3">
        <v>1510</v>
      </c>
      <c r="K318" s="3">
        <v>298</v>
      </c>
      <c r="L318" s="3">
        <v>439</v>
      </c>
      <c r="M318" s="3">
        <f t="shared" si="12"/>
        <v>2247</v>
      </c>
      <c r="N318" s="4">
        <f t="shared" si="13"/>
        <v>6.3422619887662651E-2</v>
      </c>
      <c r="O318" s="4">
        <f t="shared" si="14"/>
        <v>0.72231849782870194</v>
      </c>
    </row>
    <row r="319" spans="1:15" x14ac:dyDescent="0.3">
      <c r="A319" s="2" t="s">
        <v>457</v>
      </c>
      <c r="B319" s="2" t="s">
        <v>458</v>
      </c>
      <c r="C319" s="2" t="s">
        <v>39</v>
      </c>
      <c r="D319" s="2" t="s">
        <v>33</v>
      </c>
      <c r="E319" s="2" t="s">
        <v>19</v>
      </c>
      <c r="F319" s="2" t="s">
        <v>47</v>
      </c>
      <c r="G319" s="3">
        <v>29138</v>
      </c>
      <c r="H319" s="3">
        <v>12084</v>
      </c>
      <c r="I319" s="3">
        <v>13925</v>
      </c>
      <c r="J319" s="3">
        <v>400</v>
      </c>
      <c r="K319" s="3">
        <v>85</v>
      </c>
      <c r="L319" s="3">
        <v>98</v>
      </c>
      <c r="M319" s="3">
        <f t="shared" si="12"/>
        <v>583</v>
      </c>
      <c r="N319" s="4">
        <f t="shared" si="13"/>
        <v>4.8245614035087717E-2</v>
      </c>
      <c r="O319" s="4">
        <f t="shared" si="14"/>
        <v>0.41471617818656048</v>
      </c>
    </row>
    <row r="320" spans="1:15" x14ac:dyDescent="0.3">
      <c r="A320" s="2" t="s">
        <v>459</v>
      </c>
      <c r="B320" s="2" t="s">
        <v>458</v>
      </c>
      <c r="C320" s="2" t="s">
        <v>83</v>
      </c>
      <c r="D320" s="2" t="s">
        <v>18</v>
      </c>
      <c r="E320" s="2" t="s">
        <v>40</v>
      </c>
      <c r="F320" s="2" t="s">
        <v>41</v>
      </c>
      <c r="G320" s="3">
        <v>21615</v>
      </c>
      <c r="H320" s="3">
        <v>2502</v>
      </c>
      <c r="I320" s="3">
        <v>3530</v>
      </c>
      <c r="J320" s="3">
        <v>108</v>
      </c>
      <c r="K320" s="3">
        <v>16</v>
      </c>
      <c r="L320" s="3">
        <v>39</v>
      </c>
      <c r="M320" s="3">
        <f t="shared" si="12"/>
        <v>163</v>
      </c>
      <c r="N320" s="4">
        <f t="shared" si="13"/>
        <v>6.5147881694644291E-2</v>
      </c>
      <c r="O320" s="4">
        <f t="shared" si="14"/>
        <v>0.1157529493407356</v>
      </c>
    </row>
    <row r="321" spans="1:15" x14ac:dyDescent="0.3">
      <c r="A321" s="2" t="s">
        <v>460</v>
      </c>
      <c r="B321" s="2" t="s">
        <v>458</v>
      </c>
      <c r="C321" s="2" t="s">
        <v>45</v>
      </c>
      <c r="D321" s="2" t="s">
        <v>23</v>
      </c>
      <c r="E321" s="2" t="s">
        <v>46</v>
      </c>
      <c r="F321" s="2" t="s">
        <v>67</v>
      </c>
      <c r="G321" s="3">
        <v>35778</v>
      </c>
      <c r="H321" s="3">
        <v>4927</v>
      </c>
      <c r="I321" s="3">
        <v>7341</v>
      </c>
      <c r="J321" s="3">
        <v>29</v>
      </c>
      <c r="K321" s="3">
        <v>4</v>
      </c>
      <c r="L321" s="3">
        <v>11</v>
      </c>
      <c r="M321" s="3">
        <f t="shared" si="12"/>
        <v>44</v>
      </c>
      <c r="N321" s="4">
        <f t="shared" si="13"/>
        <v>8.9303836005682966E-3</v>
      </c>
      <c r="O321" s="4">
        <f t="shared" si="14"/>
        <v>0.13771032478059142</v>
      </c>
    </row>
    <row r="322" spans="1:15" x14ac:dyDescent="0.3">
      <c r="A322" s="2" t="s">
        <v>461</v>
      </c>
      <c r="B322" s="2" t="s">
        <v>462</v>
      </c>
      <c r="C322" s="2" t="s">
        <v>64</v>
      </c>
      <c r="D322" s="2" t="s">
        <v>23</v>
      </c>
      <c r="E322" s="2" t="s">
        <v>34</v>
      </c>
      <c r="F322" s="2" t="s">
        <v>25</v>
      </c>
      <c r="G322" s="3">
        <v>36914</v>
      </c>
      <c r="H322" s="3">
        <v>4668</v>
      </c>
      <c r="I322" s="3">
        <v>7642</v>
      </c>
      <c r="J322" s="3">
        <v>148</v>
      </c>
      <c r="K322" s="3">
        <v>16</v>
      </c>
      <c r="L322" s="3">
        <v>32</v>
      </c>
      <c r="M322" s="3">
        <f t="shared" ref="M322:M385" si="15">SUM(J322:L322)</f>
        <v>196</v>
      </c>
      <c r="N322" s="4">
        <f t="shared" ref="N322:N385" si="16">IFERROR(M322/H322,0)</f>
        <v>4.1988003427592117E-2</v>
      </c>
      <c r="O322" s="4">
        <f t="shared" ref="O322:O385" si="17">IFERROR(H322/G322,0)</f>
        <v>0.12645608712141734</v>
      </c>
    </row>
    <row r="323" spans="1:15" x14ac:dyDescent="0.3">
      <c r="A323" s="2" t="s">
        <v>463</v>
      </c>
      <c r="B323" s="2" t="s">
        <v>462</v>
      </c>
      <c r="C323" s="2" t="s">
        <v>39</v>
      </c>
      <c r="D323" s="2" t="s">
        <v>50</v>
      </c>
      <c r="E323" s="2" t="s">
        <v>19</v>
      </c>
      <c r="F323" s="2" t="s">
        <v>67</v>
      </c>
      <c r="G323" s="3">
        <v>11438</v>
      </c>
      <c r="H323" s="3">
        <v>3555</v>
      </c>
      <c r="I323" s="3">
        <v>6310</v>
      </c>
      <c r="J323" s="3">
        <v>94</v>
      </c>
      <c r="K323" s="3">
        <v>15</v>
      </c>
      <c r="L323" s="3">
        <v>21</v>
      </c>
      <c r="M323" s="3">
        <f t="shared" si="15"/>
        <v>130</v>
      </c>
      <c r="N323" s="4">
        <f t="shared" si="16"/>
        <v>3.6568213783403657E-2</v>
      </c>
      <c r="O323" s="4">
        <f t="shared" si="17"/>
        <v>0.31080608497989159</v>
      </c>
    </row>
    <row r="324" spans="1:15" x14ac:dyDescent="0.3">
      <c r="A324" s="2" t="s">
        <v>464</v>
      </c>
      <c r="B324" s="2" t="s">
        <v>465</v>
      </c>
      <c r="C324" s="2" t="s">
        <v>17</v>
      </c>
      <c r="D324" s="2" t="s">
        <v>33</v>
      </c>
      <c r="E324" s="2" t="s">
        <v>46</v>
      </c>
      <c r="F324" s="2" t="s">
        <v>41</v>
      </c>
      <c r="G324" s="3">
        <v>28368</v>
      </c>
      <c r="H324" s="3">
        <v>9784</v>
      </c>
      <c r="I324" s="3">
        <v>12046</v>
      </c>
      <c r="J324" s="3">
        <v>236</v>
      </c>
      <c r="K324" s="3">
        <v>31</v>
      </c>
      <c r="L324" s="3">
        <v>66</v>
      </c>
      <c r="M324" s="3">
        <f t="shared" si="15"/>
        <v>333</v>
      </c>
      <c r="N324" s="4">
        <f t="shared" si="16"/>
        <v>3.4035159443990187E-2</v>
      </c>
      <c r="O324" s="4">
        <f t="shared" si="17"/>
        <v>0.3448956570783982</v>
      </c>
    </row>
    <row r="325" spans="1:15" x14ac:dyDescent="0.3">
      <c r="A325" s="2" t="s">
        <v>466</v>
      </c>
      <c r="B325" s="2" t="s">
        <v>465</v>
      </c>
      <c r="C325" s="2" t="s">
        <v>27</v>
      </c>
      <c r="D325" s="2" t="s">
        <v>23</v>
      </c>
      <c r="E325" s="2" t="s">
        <v>46</v>
      </c>
      <c r="F325" s="2" t="s">
        <v>30</v>
      </c>
      <c r="G325" s="3">
        <v>36865</v>
      </c>
      <c r="H325" s="3">
        <v>5274</v>
      </c>
      <c r="I325" s="3">
        <v>8232</v>
      </c>
      <c r="J325" s="3">
        <v>122</v>
      </c>
      <c r="K325" s="3">
        <v>18</v>
      </c>
      <c r="L325" s="3">
        <v>43</v>
      </c>
      <c r="M325" s="3">
        <f t="shared" si="15"/>
        <v>183</v>
      </c>
      <c r="N325" s="4">
        <f t="shared" si="16"/>
        <v>3.4698521046643914E-2</v>
      </c>
      <c r="O325" s="4">
        <f t="shared" si="17"/>
        <v>0.14306252543062525</v>
      </c>
    </row>
    <row r="326" spans="1:15" x14ac:dyDescent="0.3">
      <c r="A326" s="2" t="s">
        <v>467</v>
      </c>
      <c r="B326" s="2" t="s">
        <v>468</v>
      </c>
      <c r="C326" s="2" t="s">
        <v>83</v>
      </c>
      <c r="D326" s="2" t="s">
        <v>33</v>
      </c>
      <c r="E326" s="2" t="s">
        <v>24</v>
      </c>
      <c r="F326" s="2" t="s">
        <v>20</v>
      </c>
      <c r="G326" s="3">
        <v>29087</v>
      </c>
      <c r="H326" s="3">
        <v>6599</v>
      </c>
      <c r="I326" s="3">
        <v>11024</v>
      </c>
      <c r="J326" s="3">
        <v>67</v>
      </c>
      <c r="K326" s="3">
        <v>9</v>
      </c>
      <c r="L326" s="3">
        <v>14</v>
      </c>
      <c r="M326" s="3">
        <f t="shared" si="15"/>
        <v>90</v>
      </c>
      <c r="N326" s="4">
        <f t="shared" si="16"/>
        <v>1.3638430065161388E-2</v>
      </c>
      <c r="O326" s="4">
        <f t="shared" si="17"/>
        <v>0.2268711108055145</v>
      </c>
    </row>
    <row r="327" spans="1:15" x14ac:dyDescent="0.3">
      <c r="A327" s="2" t="s">
        <v>469</v>
      </c>
      <c r="B327" s="2" t="s">
        <v>468</v>
      </c>
      <c r="C327" s="2" t="s">
        <v>73</v>
      </c>
      <c r="D327" s="2" t="s">
        <v>18</v>
      </c>
      <c r="E327" s="2" t="s">
        <v>24</v>
      </c>
      <c r="F327" s="2" t="s">
        <v>25</v>
      </c>
      <c r="G327" s="3">
        <v>21249</v>
      </c>
      <c r="H327" s="3">
        <v>6219</v>
      </c>
      <c r="I327" s="3">
        <v>11065</v>
      </c>
      <c r="J327" s="3">
        <v>103</v>
      </c>
      <c r="K327" s="3">
        <v>14</v>
      </c>
      <c r="L327" s="3">
        <v>37</v>
      </c>
      <c r="M327" s="3">
        <f t="shared" si="15"/>
        <v>154</v>
      </c>
      <c r="N327" s="4">
        <f t="shared" si="16"/>
        <v>2.4762823605081204E-2</v>
      </c>
      <c r="O327" s="4">
        <f t="shared" si="17"/>
        <v>0.29267259635747567</v>
      </c>
    </row>
    <row r="328" spans="1:15" x14ac:dyDescent="0.3">
      <c r="A328" s="2" t="s">
        <v>470</v>
      </c>
      <c r="B328" s="2" t="s">
        <v>468</v>
      </c>
      <c r="C328" s="2" t="s">
        <v>83</v>
      </c>
      <c r="D328" s="2" t="s">
        <v>50</v>
      </c>
      <c r="E328" s="2" t="s">
        <v>24</v>
      </c>
      <c r="F328" s="2" t="s">
        <v>79</v>
      </c>
      <c r="G328" s="3">
        <v>11644</v>
      </c>
      <c r="H328" s="3">
        <v>3902</v>
      </c>
      <c r="I328" s="3">
        <v>6020</v>
      </c>
      <c r="J328" s="3">
        <v>48</v>
      </c>
      <c r="K328" s="3">
        <v>5</v>
      </c>
      <c r="L328" s="3">
        <v>12</v>
      </c>
      <c r="M328" s="3">
        <f t="shared" si="15"/>
        <v>65</v>
      </c>
      <c r="N328" s="4">
        <f t="shared" si="16"/>
        <v>1.6658124038954381E-2</v>
      </c>
      <c r="O328" s="4">
        <f t="shared" si="17"/>
        <v>0.33510821023703197</v>
      </c>
    </row>
    <row r="329" spans="1:15" x14ac:dyDescent="0.3">
      <c r="A329" s="2" t="s">
        <v>471</v>
      </c>
      <c r="B329" s="2" t="s">
        <v>472</v>
      </c>
      <c r="C329" s="2" t="s">
        <v>55</v>
      </c>
      <c r="D329" s="2" t="s">
        <v>33</v>
      </c>
      <c r="E329" s="2" t="s">
        <v>19</v>
      </c>
      <c r="F329" s="2" t="s">
        <v>79</v>
      </c>
      <c r="G329" s="3">
        <v>29153</v>
      </c>
      <c r="H329" s="3">
        <v>11235</v>
      </c>
      <c r="I329" s="3">
        <v>16780</v>
      </c>
      <c r="J329" s="3">
        <v>476</v>
      </c>
      <c r="K329" s="3">
        <v>72</v>
      </c>
      <c r="L329" s="3">
        <v>54</v>
      </c>
      <c r="M329" s="3">
        <f t="shared" si="15"/>
        <v>602</v>
      </c>
      <c r="N329" s="4">
        <f t="shared" si="16"/>
        <v>5.3582554517133958E-2</v>
      </c>
      <c r="O329" s="4">
        <f t="shared" si="17"/>
        <v>0.38538057832813088</v>
      </c>
    </row>
    <row r="330" spans="1:15" x14ac:dyDescent="0.3">
      <c r="A330" s="2" t="s">
        <v>473</v>
      </c>
      <c r="B330" s="2" t="s">
        <v>472</v>
      </c>
      <c r="C330" s="2" t="s">
        <v>52</v>
      </c>
      <c r="D330" s="2" t="s">
        <v>50</v>
      </c>
      <c r="E330" s="2" t="s">
        <v>34</v>
      </c>
      <c r="F330" s="2" t="s">
        <v>30</v>
      </c>
      <c r="G330" s="3">
        <v>11344</v>
      </c>
      <c r="H330" s="3">
        <v>1740</v>
      </c>
      <c r="I330" s="3">
        <v>2730</v>
      </c>
      <c r="J330" s="3">
        <v>31</v>
      </c>
      <c r="K330" s="3">
        <v>2</v>
      </c>
      <c r="L330" s="3">
        <v>8</v>
      </c>
      <c r="M330" s="3">
        <f t="shared" si="15"/>
        <v>41</v>
      </c>
      <c r="N330" s="4">
        <f t="shared" si="16"/>
        <v>2.3563218390804597E-2</v>
      </c>
      <c r="O330" s="4">
        <f t="shared" si="17"/>
        <v>0.15338504936530326</v>
      </c>
    </row>
    <row r="331" spans="1:15" x14ac:dyDescent="0.3">
      <c r="A331" s="2" t="s">
        <v>474</v>
      </c>
      <c r="B331" s="2" t="s">
        <v>475</v>
      </c>
      <c r="C331" s="2" t="s">
        <v>73</v>
      </c>
      <c r="D331" s="2" t="s">
        <v>33</v>
      </c>
      <c r="E331" s="2" t="s">
        <v>29</v>
      </c>
      <c r="F331" s="2" t="s">
        <v>25</v>
      </c>
      <c r="G331" s="3">
        <v>29247</v>
      </c>
      <c r="H331" s="3">
        <v>5519</v>
      </c>
      <c r="I331" s="3">
        <v>9215</v>
      </c>
      <c r="J331" s="3">
        <v>120</v>
      </c>
      <c r="K331" s="3">
        <v>21</v>
      </c>
      <c r="L331" s="3">
        <v>17</v>
      </c>
      <c r="M331" s="3">
        <f t="shared" si="15"/>
        <v>158</v>
      </c>
      <c r="N331" s="4">
        <f t="shared" si="16"/>
        <v>2.8628374705562603E-2</v>
      </c>
      <c r="O331" s="4">
        <f t="shared" si="17"/>
        <v>0.18870311484938626</v>
      </c>
    </row>
    <row r="332" spans="1:15" x14ac:dyDescent="0.3">
      <c r="A332" s="2" t="s">
        <v>476</v>
      </c>
      <c r="B332" s="2" t="s">
        <v>475</v>
      </c>
      <c r="C332" s="2" t="s">
        <v>55</v>
      </c>
      <c r="D332" s="2" t="s">
        <v>33</v>
      </c>
      <c r="E332" s="2" t="s">
        <v>46</v>
      </c>
      <c r="F332" s="2" t="s">
        <v>41</v>
      </c>
      <c r="G332" s="3">
        <v>28650</v>
      </c>
      <c r="H332" s="3">
        <v>11224</v>
      </c>
      <c r="I332" s="3">
        <v>18622</v>
      </c>
      <c r="J332" s="3">
        <v>175</v>
      </c>
      <c r="K332" s="3">
        <v>19</v>
      </c>
      <c r="L332" s="3">
        <v>28</v>
      </c>
      <c r="M332" s="3">
        <f t="shared" si="15"/>
        <v>222</v>
      </c>
      <c r="N332" s="4">
        <f t="shared" si="16"/>
        <v>1.9779044903777618E-2</v>
      </c>
      <c r="O332" s="4">
        <f t="shared" si="17"/>
        <v>0.39176265270506111</v>
      </c>
    </row>
    <row r="333" spans="1:15" x14ac:dyDescent="0.3">
      <c r="A333" s="2" t="s">
        <v>477</v>
      </c>
      <c r="B333" s="2" t="s">
        <v>475</v>
      </c>
      <c r="C333" s="2" t="s">
        <v>83</v>
      </c>
      <c r="D333" s="2" t="s">
        <v>18</v>
      </c>
      <c r="E333" s="2" t="s">
        <v>34</v>
      </c>
      <c r="F333" s="2" t="s">
        <v>35</v>
      </c>
      <c r="G333" s="3">
        <v>21253</v>
      </c>
      <c r="H333" s="3">
        <v>5818</v>
      </c>
      <c r="I333" s="3">
        <v>9904</v>
      </c>
      <c r="J333" s="3">
        <v>165</v>
      </c>
      <c r="K333" s="3">
        <v>26</v>
      </c>
      <c r="L333" s="3">
        <v>31</v>
      </c>
      <c r="M333" s="3">
        <f t="shared" si="15"/>
        <v>222</v>
      </c>
      <c r="N333" s="4">
        <f t="shared" si="16"/>
        <v>3.8157442420075627E-2</v>
      </c>
      <c r="O333" s="4">
        <f t="shared" si="17"/>
        <v>0.27374958829341739</v>
      </c>
    </row>
    <row r="334" spans="1:15" x14ac:dyDescent="0.3">
      <c r="A334" s="2" t="s">
        <v>478</v>
      </c>
      <c r="B334" s="2" t="s">
        <v>475</v>
      </c>
      <c r="C334" s="2" t="s">
        <v>43</v>
      </c>
      <c r="D334" s="2" t="s">
        <v>50</v>
      </c>
      <c r="E334" s="2" t="s">
        <v>46</v>
      </c>
      <c r="F334" s="2" t="s">
        <v>25</v>
      </c>
      <c r="G334" s="3">
        <v>11486</v>
      </c>
      <c r="H334" s="3">
        <v>1847</v>
      </c>
      <c r="I334" s="3">
        <v>2914</v>
      </c>
      <c r="J334" s="3">
        <v>20</v>
      </c>
      <c r="K334" s="3">
        <v>2</v>
      </c>
      <c r="L334" s="3">
        <v>6</v>
      </c>
      <c r="M334" s="3">
        <f t="shared" si="15"/>
        <v>28</v>
      </c>
      <c r="N334" s="4">
        <f t="shared" si="16"/>
        <v>1.5159718462371413E-2</v>
      </c>
      <c r="O334" s="4">
        <f t="shared" si="17"/>
        <v>0.1608044576005572</v>
      </c>
    </row>
    <row r="335" spans="1:15" x14ac:dyDescent="0.3">
      <c r="A335" s="2" t="s">
        <v>479</v>
      </c>
      <c r="B335" s="2" t="s">
        <v>475</v>
      </c>
      <c r="C335" s="2" t="s">
        <v>55</v>
      </c>
      <c r="D335" s="2" t="s">
        <v>28</v>
      </c>
      <c r="E335" s="2" t="s">
        <v>19</v>
      </c>
      <c r="F335" s="2" t="s">
        <v>35</v>
      </c>
      <c r="G335" s="3">
        <v>48654</v>
      </c>
      <c r="H335" s="3">
        <v>26911</v>
      </c>
      <c r="I335" s="3">
        <v>47262</v>
      </c>
      <c r="J335" s="3">
        <v>536</v>
      </c>
      <c r="K335" s="3">
        <v>92</v>
      </c>
      <c r="L335" s="3">
        <v>98</v>
      </c>
      <c r="M335" s="3">
        <f t="shared" si="15"/>
        <v>726</v>
      </c>
      <c r="N335" s="4">
        <f t="shared" si="16"/>
        <v>2.6977815763070862E-2</v>
      </c>
      <c r="O335" s="4">
        <f t="shared" si="17"/>
        <v>0.55310971348707194</v>
      </c>
    </row>
    <row r="336" spans="1:15" x14ac:dyDescent="0.3">
      <c r="A336" s="2" t="s">
        <v>480</v>
      </c>
      <c r="B336" s="2" t="s">
        <v>481</v>
      </c>
      <c r="C336" s="2" t="s">
        <v>27</v>
      </c>
      <c r="D336" s="2" t="s">
        <v>23</v>
      </c>
      <c r="E336" s="2" t="s">
        <v>29</v>
      </c>
      <c r="F336" s="2" t="s">
        <v>30</v>
      </c>
      <c r="G336" s="3">
        <v>37108</v>
      </c>
      <c r="H336" s="3">
        <v>4619</v>
      </c>
      <c r="I336" s="3">
        <v>5792</v>
      </c>
      <c r="J336" s="3">
        <v>99</v>
      </c>
      <c r="K336" s="3">
        <v>12</v>
      </c>
      <c r="L336" s="3">
        <v>26</v>
      </c>
      <c r="M336" s="3">
        <f t="shared" si="15"/>
        <v>137</v>
      </c>
      <c r="N336" s="4">
        <f t="shared" si="16"/>
        <v>2.9660099588655554E-2</v>
      </c>
      <c r="O336" s="4">
        <f t="shared" si="17"/>
        <v>0.1244745068448852</v>
      </c>
    </row>
    <row r="337" spans="1:15" x14ac:dyDescent="0.3">
      <c r="A337" s="2" t="s">
        <v>482</v>
      </c>
      <c r="B337" s="2" t="s">
        <v>481</v>
      </c>
      <c r="C337" s="2" t="s">
        <v>55</v>
      </c>
      <c r="D337" s="2" t="s">
        <v>50</v>
      </c>
      <c r="E337" s="2" t="s">
        <v>19</v>
      </c>
      <c r="F337" s="2" t="s">
        <v>79</v>
      </c>
      <c r="G337" s="3">
        <v>11520</v>
      </c>
      <c r="H337" s="3">
        <v>2160</v>
      </c>
      <c r="I337" s="3">
        <v>3812</v>
      </c>
      <c r="J337" s="3">
        <v>100</v>
      </c>
      <c r="K337" s="3">
        <v>17</v>
      </c>
      <c r="L337" s="3">
        <v>20</v>
      </c>
      <c r="M337" s="3">
        <f t="shared" si="15"/>
        <v>137</v>
      </c>
      <c r="N337" s="4">
        <f t="shared" si="16"/>
        <v>6.3425925925925927E-2</v>
      </c>
      <c r="O337" s="4">
        <f t="shared" si="17"/>
        <v>0.1875</v>
      </c>
    </row>
    <row r="338" spans="1:15" x14ac:dyDescent="0.3">
      <c r="A338" s="2" t="s">
        <v>483</v>
      </c>
      <c r="B338" s="2" t="s">
        <v>481</v>
      </c>
      <c r="C338" s="2" t="s">
        <v>49</v>
      </c>
      <c r="D338" s="2" t="s">
        <v>28</v>
      </c>
      <c r="E338" s="2" t="s">
        <v>40</v>
      </c>
      <c r="F338" s="2" t="s">
        <v>25</v>
      </c>
      <c r="G338" s="3">
        <v>50515</v>
      </c>
      <c r="H338" s="3">
        <v>32779</v>
      </c>
      <c r="I338" s="3">
        <v>50308</v>
      </c>
      <c r="J338" s="3">
        <v>2525</v>
      </c>
      <c r="K338" s="3">
        <v>512</v>
      </c>
      <c r="L338" s="3">
        <v>581</v>
      </c>
      <c r="M338" s="3">
        <f t="shared" si="15"/>
        <v>3618</v>
      </c>
      <c r="N338" s="4">
        <f t="shared" si="16"/>
        <v>0.11037554531864914</v>
      </c>
      <c r="O338" s="4">
        <f t="shared" si="17"/>
        <v>0.64889636741561907</v>
      </c>
    </row>
    <row r="339" spans="1:15" x14ac:dyDescent="0.3">
      <c r="A339" s="2" t="s">
        <v>484</v>
      </c>
      <c r="B339" s="2" t="s">
        <v>485</v>
      </c>
      <c r="C339" s="2" t="s">
        <v>55</v>
      </c>
      <c r="D339" s="2" t="s">
        <v>33</v>
      </c>
      <c r="E339" s="2" t="s">
        <v>29</v>
      </c>
      <c r="F339" s="2" t="s">
        <v>67</v>
      </c>
      <c r="G339" s="3">
        <v>29520</v>
      </c>
      <c r="H339" s="3">
        <v>11866</v>
      </c>
      <c r="I339" s="3">
        <v>16167</v>
      </c>
      <c r="J339" s="3">
        <v>521</v>
      </c>
      <c r="K339" s="3">
        <v>39</v>
      </c>
      <c r="L339" s="3">
        <v>168</v>
      </c>
      <c r="M339" s="3">
        <f t="shared" si="15"/>
        <v>728</v>
      </c>
      <c r="N339" s="4">
        <f t="shared" si="16"/>
        <v>6.1351761334906454E-2</v>
      </c>
      <c r="O339" s="4">
        <f t="shared" si="17"/>
        <v>0.40196476964769645</v>
      </c>
    </row>
    <row r="340" spans="1:15" x14ac:dyDescent="0.3">
      <c r="A340" s="2" t="s">
        <v>486</v>
      </c>
      <c r="B340" s="2" t="s">
        <v>485</v>
      </c>
      <c r="C340" s="2" t="s">
        <v>17</v>
      </c>
      <c r="D340" s="2" t="s">
        <v>18</v>
      </c>
      <c r="E340" s="2" t="s">
        <v>34</v>
      </c>
      <c r="F340" s="2" t="s">
        <v>20</v>
      </c>
      <c r="G340" s="3">
        <v>21981</v>
      </c>
      <c r="H340" s="3">
        <v>5597</v>
      </c>
      <c r="I340" s="3">
        <v>8245</v>
      </c>
      <c r="J340" s="3">
        <v>164</v>
      </c>
      <c r="K340" s="3">
        <v>27</v>
      </c>
      <c r="L340" s="3">
        <v>50</v>
      </c>
      <c r="M340" s="3">
        <f t="shared" si="15"/>
        <v>241</v>
      </c>
      <c r="N340" s="4">
        <f t="shared" si="16"/>
        <v>4.3058781490083971E-2</v>
      </c>
      <c r="O340" s="4">
        <f t="shared" si="17"/>
        <v>0.25462899777080206</v>
      </c>
    </row>
    <row r="341" spans="1:15" x14ac:dyDescent="0.3">
      <c r="A341" s="2" t="s">
        <v>487</v>
      </c>
      <c r="B341" s="2" t="s">
        <v>485</v>
      </c>
      <c r="C341" s="2" t="s">
        <v>49</v>
      </c>
      <c r="D341" s="2" t="s">
        <v>50</v>
      </c>
      <c r="E341" s="2" t="s">
        <v>24</v>
      </c>
      <c r="F341" s="2" t="s">
        <v>41</v>
      </c>
      <c r="G341" s="3">
        <v>11685</v>
      </c>
      <c r="H341" s="3">
        <v>3927</v>
      </c>
      <c r="I341" s="3">
        <v>6372</v>
      </c>
      <c r="J341" s="3">
        <v>43</v>
      </c>
      <c r="K341" s="3">
        <v>4</v>
      </c>
      <c r="L341" s="3">
        <v>13</v>
      </c>
      <c r="M341" s="3">
        <f t="shared" si="15"/>
        <v>60</v>
      </c>
      <c r="N341" s="4">
        <f t="shared" si="16"/>
        <v>1.5278838808250574E-2</v>
      </c>
      <c r="O341" s="4">
        <f t="shared" si="17"/>
        <v>0.33607188703465984</v>
      </c>
    </row>
    <row r="342" spans="1:15" x14ac:dyDescent="0.3">
      <c r="A342" s="2" t="s">
        <v>488</v>
      </c>
      <c r="B342" s="2" t="s">
        <v>485</v>
      </c>
      <c r="C342" s="2" t="s">
        <v>64</v>
      </c>
      <c r="D342" s="2" t="s">
        <v>50</v>
      </c>
      <c r="E342" s="2" t="s">
        <v>34</v>
      </c>
      <c r="F342" s="2" t="s">
        <v>67</v>
      </c>
      <c r="G342" s="3">
        <v>11467</v>
      </c>
      <c r="H342" s="3">
        <v>2040</v>
      </c>
      <c r="I342" s="3">
        <v>2344</v>
      </c>
      <c r="J342" s="3">
        <v>83</v>
      </c>
      <c r="K342" s="3">
        <v>9</v>
      </c>
      <c r="L342" s="3">
        <v>14</v>
      </c>
      <c r="M342" s="3">
        <f t="shared" si="15"/>
        <v>106</v>
      </c>
      <c r="N342" s="4">
        <f t="shared" si="16"/>
        <v>5.1960784313725493E-2</v>
      </c>
      <c r="O342" s="4">
        <f t="shared" si="17"/>
        <v>0.17790180518008197</v>
      </c>
    </row>
    <row r="343" spans="1:15" x14ac:dyDescent="0.3">
      <c r="A343" s="2" t="s">
        <v>489</v>
      </c>
      <c r="B343" s="2" t="s">
        <v>490</v>
      </c>
      <c r="C343" s="2" t="s">
        <v>49</v>
      </c>
      <c r="D343" s="2" t="s">
        <v>33</v>
      </c>
      <c r="E343" s="2" t="s">
        <v>46</v>
      </c>
      <c r="F343" s="2" t="s">
        <v>30</v>
      </c>
      <c r="G343" s="3">
        <v>29126</v>
      </c>
      <c r="H343" s="3">
        <v>10286</v>
      </c>
      <c r="I343" s="3">
        <v>15766</v>
      </c>
      <c r="J343" s="3">
        <v>222</v>
      </c>
      <c r="K343" s="3">
        <v>36</v>
      </c>
      <c r="L343" s="3">
        <v>44</v>
      </c>
      <c r="M343" s="3">
        <f t="shared" si="15"/>
        <v>302</v>
      </c>
      <c r="N343" s="4">
        <f t="shared" si="16"/>
        <v>2.9360295547345906E-2</v>
      </c>
      <c r="O343" s="4">
        <f t="shared" si="17"/>
        <v>0.35315525647188079</v>
      </c>
    </row>
    <row r="344" spans="1:15" x14ac:dyDescent="0.3">
      <c r="A344" s="2" t="s">
        <v>491</v>
      </c>
      <c r="B344" s="2" t="s">
        <v>490</v>
      </c>
      <c r="C344" s="2" t="s">
        <v>55</v>
      </c>
      <c r="D344" s="2" t="s">
        <v>33</v>
      </c>
      <c r="E344" s="2" t="s">
        <v>29</v>
      </c>
      <c r="F344" s="2" t="s">
        <v>30</v>
      </c>
      <c r="G344" s="3">
        <v>28841</v>
      </c>
      <c r="H344" s="3">
        <v>10532</v>
      </c>
      <c r="I344" s="3">
        <v>16057</v>
      </c>
      <c r="J344" s="3">
        <v>275</v>
      </c>
      <c r="K344" s="3">
        <v>30</v>
      </c>
      <c r="L344" s="3">
        <v>44</v>
      </c>
      <c r="M344" s="3">
        <f t="shared" si="15"/>
        <v>349</v>
      </c>
      <c r="N344" s="4">
        <f t="shared" si="16"/>
        <v>3.3137105962780099E-2</v>
      </c>
      <c r="O344" s="4">
        <f t="shared" si="17"/>
        <v>0.36517457785791063</v>
      </c>
    </row>
    <row r="345" spans="1:15" x14ac:dyDescent="0.3">
      <c r="A345" s="2" t="s">
        <v>492</v>
      </c>
      <c r="B345" s="2" t="s">
        <v>490</v>
      </c>
      <c r="C345" s="2" t="s">
        <v>73</v>
      </c>
      <c r="D345" s="2" t="s">
        <v>18</v>
      </c>
      <c r="E345" s="2" t="s">
        <v>19</v>
      </c>
      <c r="F345" s="2" t="s">
        <v>20</v>
      </c>
      <c r="G345" s="3">
        <v>21820</v>
      </c>
      <c r="H345" s="3">
        <v>5659</v>
      </c>
      <c r="I345" s="3">
        <v>9589</v>
      </c>
      <c r="J345" s="3">
        <v>154</v>
      </c>
      <c r="K345" s="3">
        <v>16</v>
      </c>
      <c r="L345" s="3">
        <v>38</v>
      </c>
      <c r="M345" s="3">
        <f t="shared" si="15"/>
        <v>208</v>
      </c>
      <c r="N345" s="4">
        <f t="shared" si="16"/>
        <v>3.6755610531896098E-2</v>
      </c>
      <c r="O345" s="4">
        <f t="shared" si="17"/>
        <v>0.25934922089825846</v>
      </c>
    </row>
    <row r="346" spans="1:15" x14ac:dyDescent="0.3">
      <c r="A346" s="2" t="s">
        <v>493</v>
      </c>
      <c r="B346" s="2" t="s">
        <v>490</v>
      </c>
      <c r="C346" s="2" t="s">
        <v>73</v>
      </c>
      <c r="D346" s="2" t="s">
        <v>28</v>
      </c>
      <c r="E346" s="2" t="s">
        <v>19</v>
      </c>
      <c r="F346" s="2" t="s">
        <v>30</v>
      </c>
      <c r="G346" s="3">
        <v>48948</v>
      </c>
      <c r="H346" s="3">
        <v>30458</v>
      </c>
      <c r="I346" s="3">
        <v>41905</v>
      </c>
      <c r="J346" s="3">
        <v>1039</v>
      </c>
      <c r="K346" s="3">
        <v>111</v>
      </c>
      <c r="L346" s="3">
        <v>419</v>
      </c>
      <c r="M346" s="3">
        <f t="shared" si="15"/>
        <v>1569</v>
      </c>
      <c r="N346" s="4">
        <f t="shared" si="16"/>
        <v>5.1513559655919625E-2</v>
      </c>
      <c r="O346" s="4">
        <f t="shared" si="17"/>
        <v>0.62225218599329901</v>
      </c>
    </row>
    <row r="347" spans="1:15" x14ac:dyDescent="0.3">
      <c r="A347" s="2" t="s">
        <v>494</v>
      </c>
      <c r="B347" s="2" t="s">
        <v>495</v>
      </c>
      <c r="C347" s="2" t="s">
        <v>39</v>
      </c>
      <c r="D347" s="2" t="s">
        <v>18</v>
      </c>
      <c r="E347" s="2" t="s">
        <v>46</v>
      </c>
      <c r="F347" s="2" t="s">
        <v>20</v>
      </c>
      <c r="G347" s="3">
        <v>21346</v>
      </c>
      <c r="H347" s="3">
        <v>3077</v>
      </c>
      <c r="I347" s="3">
        <v>5182</v>
      </c>
      <c r="J347" s="3">
        <v>29</v>
      </c>
      <c r="K347" s="3">
        <v>5</v>
      </c>
      <c r="L347" s="3">
        <v>9</v>
      </c>
      <c r="M347" s="3">
        <f t="shared" si="15"/>
        <v>43</v>
      </c>
      <c r="N347" s="4">
        <f t="shared" si="16"/>
        <v>1.3974650633734157E-2</v>
      </c>
      <c r="O347" s="4">
        <f t="shared" si="17"/>
        <v>0.14414878665792186</v>
      </c>
    </row>
    <row r="348" spans="1:15" x14ac:dyDescent="0.3">
      <c r="A348" s="2" t="s">
        <v>496</v>
      </c>
      <c r="B348" s="2" t="s">
        <v>497</v>
      </c>
      <c r="C348" s="2" t="s">
        <v>17</v>
      </c>
      <c r="D348" s="2" t="s">
        <v>33</v>
      </c>
      <c r="E348" s="2" t="s">
        <v>29</v>
      </c>
      <c r="F348" s="2" t="s">
        <v>30</v>
      </c>
      <c r="G348" s="3">
        <v>28883</v>
      </c>
      <c r="H348" s="3">
        <v>6738</v>
      </c>
      <c r="I348" s="3">
        <v>10150</v>
      </c>
      <c r="J348" s="3">
        <v>328</v>
      </c>
      <c r="K348" s="3">
        <v>54</v>
      </c>
      <c r="L348" s="3">
        <v>85</v>
      </c>
      <c r="M348" s="3">
        <f t="shared" si="15"/>
        <v>467</v>
      </c>
      <c r="N348" s="4">
        <f t="shared" si="16"/>
        <v>6.9308400118729588E-2</v>
      </c>
      <c r="O348" s="4">
        <f t="shared" si="17"/>
        <v>0.23328601599556834</v>
      </c>
    </row>
    <row r="349" spans="1:15" x14ac:dyDescent="0.3">
      <c r="A349" s="2" t="s">
        <v>498</v>
      </c>
      <c r="B349" s="2" t="s">
        <v>497</v>
      </c>
      <c r="C349" s="2" t="s">
        <v>83</v>
      </c>
      <c r="D349" s="2" t="s">
        <v>18</v>
      </c>
      <c r="E349" s="2" t="s">
        <v>19</v>
      </c>
      <c r="F349" s="2" t="s">
        <v>79</v>
      </c>
      <c r="G349" s="3">
        <v>21660</v>
      </c>
      <c r="H349" s="3">
        <v>3588</v>
      </c>
      <c r="I349" s="3">
        <v>5603</v>
      </c>
      <c r="J349" s="3">
        <v>144</v>
      </c>
      <c r="K349" s="3">
        <v>22</v>
      </c>
      <c r="L349" s="3">
        <v>49</v>
      </c>
      <c r="M349" s="3">
        <f t="shared" si="15"/>
        <v>215</v>
      </c>
      <c r="N349" s="4">
        <f t="shared" si="16"/>
        <v>5.9921962095875136E-2</v>
      </c>
      <c r="O349" s="4">
        <f t="shared" si="17"/>
        <v>0.16565096952908587</v>
      </c>
    </row>
    <row r="350" spans="1:15" x14ac:dyDescent="0.3">
      <c r="A350" s="2" t="s">
        <v>499</v>
      </c>
      <c r="B350" s="2" t="s">
        <v>497</v>
      </c>
      <c r="C350" s="2" t="s">
        <v>52</v>
      </c>
      <c r="D350" s="2" t="s">
        <v>50</v>
      </c>
      <c r="E350" s="2" t="s">
        <v>19</v>
      </c>
      <c r="F350" s="2" t="s">
        <v>41</v>
      </c>
      <c r="G350" s="3">
        <v>11565</v>
      </c>
      <c r="H350" s="3">
        <v>2344</v>
      </c>
      <c r="I350" s="3">
        <v>3693</v>
      </c>
      <c r="J350" s="3">
        <v>65</v>
      </c>
      <c r="K350" s="3">
        <v>8</v>
      </c>
      <c r="L350" s="3">
        <v>18</v>
      </c>
      <c r="M350" s="3">
        <f t="shared" si="15"/>
        <v>91</v>
      </c>
      <c r="N350" s="4">
        <f t="shared" si="16"/>
        <v>3.8822525597269626E-2</v>
      </c>
      <c r="O350" s="4">
        <f t="shared" si="17"/>
        <v>0.20268050151318634</v>
      </c>
    </row>
    <row r="351" spans="1:15" x14ac:dyDescent="0.3">
      <c r="A351" s="2" t="s">
        <v>500</v>
      </c>
      <c r="B351" s="2" t="s">
        <v>497</v>
      </c>
      <c r="C351" s="2" t="s">
        <v>49</v>
      </c>
      <c r="D351" s="2" t="s">
        <v>28</v>
      </c>
      <c r="E351" s="2" t="s">
        <v>46</v>
      </c>
      <c r="F351" s="2" t="s">
        <v>30</v>
      </c>
      <c r="G351" s="3">
        <v>50697</v>
      </c>
      <c r="H351" s="3">
        <v>40971</v>
      </c>
      <c r="I351" s="3">
        <v>49083</v>
      </c>
      <c r="J351" s="3">
        <v>664</v>
      </c>
      <c r="K351" s="3">
        <v>133</v>
      </c>
      <c r="L351" s="3">
        <v>167</v>
      </c>
      <c r="M351" s="3">
        <f t="shared" si="15"/>
        <v>964</v>
      </c>
      <c r="N351" s="4">
        <f t="shared" si="16"/>
        <v>2.3528837470405895E-2</v>
      </c>
      <c r="O351" s="4">
        <f t="shared" si="17"/>
        <v>0.80815432865850045</v>
      </c>
    </row>
    <row r="352" spans="1:15" x14ac:dyDescent="0.3">
      <c r="A352" s="2" t="s">
        <v>501</v>
      </c>
      <c r="B352" s="2" t="s">
        <v>497</v>
      </c>
      <c r="C352" s="2" t="s">
        <v>17</v>
      </c>
      <c r="D352" s="2" t="s">
        <v>28</v>
      </c>
      <c r="E352" s="2" t="s">
        <v>46</v>
      </c>
      <c r="F352" s="2" t="s">
        <v>30</v>
      </c>
      <c r="G352" s="3">
        <v>50798</v>
      </c>
      <c r="H352" s="3">
        <v>40751</v>
      </c>
      <c r="I352" s="3">
        <v>62843</v>
      </c>
      <c r="J352" s="3">
        <v>928</v>
      </c>
      <c r="K352" s="3">
        <v>159</v>
      </c>
      <c r="L352" s="3">
        <v>173</v>
      </c>
      <c r="M352" s="3">
        <f t="shared" si="15"/>
        <v>1260</v>
      </c>
      <c r="N352" s="4">
        <f t="shared" si="16"/>
        <v>3.0919486638364704E-2</v>
      </c>
      <c r="O352" s="4">
        <f t="shared" si="17"/>
        <v>0.80221662270168115</v>
      </c>
    </row>
    <row r="353" spans="1:15" x14ac:dyDescent="0.3">
      <c r="A353" s="2" t="s">
        <v>502</v>
      </c>
      <c r="B353" s="2" t="s">
        <v>503</v>
      </c>
      <c r="C353" s="2" t="s">
        <v>27</v>
      </c>
      <c r="D353" s="2" t="s">
        <v>23</v>
      </c>
      <c r="E353" s="2" t="s">
        <v>40</v>
      </c>
      <c r="F353" s="2" t="s">
        <v>20</v>
      </c>
      <c r="G353" s="3">
        <v>36772</v>
      </c>
      <c r="H353" s="3">
        <v>4091</v>
      </c>
      <c r="I353" s="3">
        <v>6711</v>
      </c>
      <c r="J353" s="3">
        <v>217</v>
      </c>
      <c r="K353" s="3">
        <v>30</v>
      </c>
      <c r="L353" s="3">
        <v>67</v>
      </c>
      <c r="M353" s="3">
        <f t="shared" si="15"/>
        <v>314</v>
      </c>
      <c r="N353" s="4">
        <f t="shared" si="16"/>
        <v>7.6753849914446351E-2</v>
      </c>
      <c r="O353" s="4">
        <f t="shared" si="17"/>
        <v>0.1112531273795279</v>
      </c>
    </row>
    <row r="354" spans="1:15" x14ac:dyDescent="0.3">
      <c r="A354" s="2" t="s">
        <v>504</v>
      </c>
      <c r="B354" s="2" t="s">
        <v>503</v>
      </c>
      <c r="C354" s="2" t="s">
        <v>22</v>
      </c>
      <c r="D354" s="2" t="s">
        <v>50</v>
      </c>
      <c r="E354" s="2" t="s">
        <v>34</v>
      </c>
      <c r="F354" s="2" t="s">
        <v>25</v>
      </c>
      <c r="G354" s="3">
        <v>11850</v>
      </c>
      <c r="H354" s="3">
        <v>3620</v>
      </c>
      <c r="I354" s="3">
        <v>5537</v>
      </c>
      <c r="J354" s="3">
        <v>58</v>
      </c>
      <c r="K354" s="3">
        <v>7</v>
      </c>
      <c r="L354" s="3">
        <v>16</v>
      </c>
      <c r="M354" s="3">
        <f t="shared" si="15"/>
        <v>81</v>
      </c>
      <c r="N354" s="4">
        <f t="shared" si="16"/>
        <v>2.2375690607734807E-2</v>
      </c>
      <c r="O354" s="4">
        <f t="shared" si="17"/>
        <v>0.30548523206751055</v>
      </c>
    </row>
    <row r="355" spans="1:15" x14ac:dyDescent="0.3">
      <c r="A355" s="2" t="s">
        <v>505</v>
      </c>
      <c r="B355" s="2" t="s">
        <v>506</v>
      </c>
      <c r="C355" s="2" t="s">
        <v>83</v>
      </c>
      <c r="D355" s="2" t="s">
        <v>23</v>
      </c>
      <c r="E355" s="2" t="s">
        <v>29</v>
      </c>
      <c r="F355" s="2" t="s">
        <v>67</v>
      </c>
      <c r="G355" s="3">
        <v>36609</v>
      </c>
      <c r="H355" s="3">
        <v>5428</v>
      </c>
      <c r="I355" s="3">
        <v>6209</v>
      </c>
      <c r="J355" s="3">
        <v>148</v>
      </c>
      <c r="K355" s="3">
        <v>30</v>
      </c>
      <c r="L355" s="3">
        <v>40</v>
      </c>
      <c r="M355" s="3">
        <f t="shared" si="15"/>
        <v>218</v>
      </c>
      <c r="N355" s="4">
        <f t="shared" si="16"/>
        <v>4.0162122328666172E-2</v>
      </c>
      <c r="O355" s="4">
        <f t="shared" si="17"/>
        <v>0.14826955120325602</v>
      </c>
    </row>
    <row r="356" spans="1:15" x14ac:dyDescent="0.3">
      <c r="A356" s="2" t="s">
        <v>507</v>
      </c>
      <c r="B356" s="2" t="s">
        <v>506</v>
      </c>
      <c r="C356" s="2" t="s">
        <v>27</v>
      </c>
      <c r="D356" s="2" t="s">
        <v>50</v>
      </c>
      <c r="E356" s="2" t="s">
        <v>34</v>
      </c>
      <c r="F356" s="2" t="s">
        <v>67</v>
      </c>
      <c r="G356" s="3">
        <v>11930</v>
      </c>
      <c r="H356" s="3">
        <v>2320</v>
      </c>
      <c r="I356" s="3">
        <v>3694</v>
      </c>
      <c r="J356" s="3">
        <v>83</v>
      </c>
      <c r="K356" s="3">
        <v>8</v>
      </c>
      <c r="L356" s="3">
        <v>17</v>
      </c>
      <c r="M356" s="3">
        <f t="shared" si="15"/>
        <v>108</v>
      </c>
      <c r="N356" s="4">
        <f t="shared" si="16"/>
        <v>4.6551724137931037E-2</v>
      </c>
      <c r="O356" s="4">
        <f t="shared" si="17"/>
        <v>0.1944677284157586</v>
      </c>
    </row>
    <row r="357" spans="1:15" x14ac:dyDescent="0.3">
      <c r="A357" s="2" t="s">
        <v>508</v>
      </c>
      <c r="B357" s="2" t="s">
        <v>509</v>
      </c>
      <c r="C357" s="2" t="s">
        <v>64</v>
      </c>
      <c r="D357" s="2" t="s">
        <v>33</v>
      </c>
      <c r="E357" s="2" t="s">
        <v>24</v>
      </c>
      <c r="F357" s="2" t="s">
        <v>30</v>
      </c>
      <c r="G357" s="3">
        <v>29326</v>
      </c>
      <c r="H357" s="3">
        <v>8258</v>
      </c>
      <c r="I357" s="3">
        <v>14328</v>
      </c>
      <c r="J357" s="3">
        <v>192</v>
      </c>
      <c r="K357" s="3">
        <v>24</v>
      </c>
      <c r="L357" s="3">
        <v>31</v>
      </c>
      <c r="M357" s="3">
        <f t="shared" si="15"/>
        <v>247</v>
      </c>
      <c r="N357" s="4">
        <f t="shared" si="16"/>
        <v>2.9910389924921288E-2</v>
      </c>
      <c r="O357" s="4">
        <f t="shared" si="17"/>
        <v>0.28159312555411581</v>
      </c>
    </row>
    <row r="358" spans="1:15" x14ac:dyDescent="0.3">
      <c r="A358" s="2" t="s">
        <v>510</v>
      </c>
      <c r="B358" s="2" t="s">
        <v>509</v>
      </c>
      <c r="C358" s="2" t="s">
        <v>55</v>
      </c>
      <c r="D358" s="2" t="s">
        <v>23</v>
      </c>
      <c r="E358" s="2" t="s">
        <v>40</v>
      </c>
      <c r="F358" s="2" t="s">
        <v>20</v>
      </c>
      <c r="G358" s="3">
        <v>36681</v>
      </c>
      <c r="H358" s="3">
        <v>5576</v>
      </c>
      <c r="I358" s="3">
        <v>7229</v>
      </c>
      <c r="J358" s="3">
        <v>154</v>
      </c>
      <c r="K358" s="3">
        <v>27</v>
      </c>
      <c r="L358" s="3">
        <v>28</v>
      </c>
      <c r="M358" s="3">
        <f t="shared" si="15"/>
        <v>209</v>
      </c>
      <c r="N358" s="4">
        <f t="shared" si="16"/>
        <v>3.7482065997130561E-2</v>
      </c>
      <c r="O358" s="4">
        <f t="shared" si="17"/>
        <v>0.15201330389029744</v>
      </c>
    </row>
    <row r="359" spans="1:15" x14ac:dyDescent="0.3">
      <c r="A359" s="2" t="s">
        <v>511</v>
      </c>
      <c r="B359" s="2" t="s">
        <v>509</v>
      </c>
      <c r="C359" s="2" t="s">
        <v>45</v>
      </c>
      <c r="D359" s="2" t="s">
        <v>50</v>
      </c>
      <c r="E359" s="2" t="s">
        <v>46</v>
      </c>
      <c r="F359" s="2" t="s">
        <v>30</v>
      </c>
      <c r="G359" s="3">
        <v>11714</v>
      </c>
      <c r="H359" s="3">
        <v>2695</v>
      </c>
      <c r="I359" s="3">
        <v>3361</v>
      </c>
      <c r="J359" s="3">
        <v>28</v>
      </c>
      <c r="K359" s="3">
        <v>2</v>
      </c>
      <c r="L359" s="3">
        <v>13</v>
      </c>
      <c r="M359" s="3">
        <f t="shared" si="15"/>
        <v>43</v>
      </c>
      <c r="N359" s="4">
        <f t="shared" si="16"/>
        <v>1.5955473098330241E-2</v>
      </c>
      <c r="O359" s="4">
        <f t="shared" si="17"/>
        <v>0.23006658698992657</v>
      </c>
    </row>
    <row r="360" spans="1:15" x14ac:dyDescent="0.3">
      <c r="A360" s="2" t="s">
        <v>512</v>
      </c>
      <c r="B360" s="2" t="s">
        <v>513</v>
      </c>
      <c r="C360" s="2" t="s">
        <v>39</v>
      </c>
      <c r="D360" s="2" t="s">
        <v>33</v>
      </c>
      <c r="E360" s="2" t="s">
        <v>24</v>
      </c>
      <c r="F360" s="2" t="s">
        <v>20</v>
      </c>
      <c r="G360" s="3">
        <v>28829</v>
      </c>
      <c r="H360" s="3">
        <v>7199</v>
      </c>
      <c r="I360" s="3">
        <v>8826</v>
      </c>
      <c r="J360" s="3">
        <v>216</v>
      </c>
      <c r="K360" s="3">
        <v>31</v>
      </c>
      <c r="L360" s="3">
        <v>45</v>
      </c>
      <c r="M360" s="3">
        <f t="shared" si="15"/>
        <v>292</v>
      </c>
      <c r="N360" s="4">
        <f t="shared" si="16"/>
        <v>4.0561189054035281E-2</v>
      </c>
      <c r="O360" s="4">
        <f t="shared" si="17"/>
        <v>0.24971382982413542</v>
      </c>
    </row>
    <row r="361" spans="1:15" x14ac:dyDescent="0.3">
      <c r="A361" s="2" t="s">
        <v>514</v>
      </c>
      <c r="B361" s="2" t="s">
        <v>515</v>
      </c>
      <c r="C361" s="2" t="s">
        <v>55</v>
      </c>
      <c r="D361" s="2" t="s">
        <v>33</v>
      </c>
      <c r="E361" s="2" t="s">
        <v>40</v>
      </c>
      <c r="F361" s="2" t="s">
        <v>47</v>
      </c>
      <c r="G361" s="3">
        <v>29007</v>
      </c>
      <c r="H361" s="3">
        <v>11724</v>
      </c>
      <c r="I361" s="3">
        <v>17827</v>
      </c>
      <c r="J361" s="3">
        <v>735</v>
      </c>
      <c r="K361" s="3">
        <v>64</v>
      </c>
      <c r="L361" s="3">
        <v>153</v>
      </c>
      <c r="M361" s="3">
        <f t="shared" si="15"/>
        <v>952</v>
      </c>
      <c r="N361" s="4">
        <f t="shared" si="16"/>
        <v>8.1200955305356537E-2</v>
      </c>
      <c r="O361" s="4">
        <f t="shared" si="17"/>
        <v>0.40417830178922332</v>
      </c>
    </row>
    <row r="362" spans="1:15" x14ac:dyDescent="0.3">
      <c r="A362" s="2" t="s">
        <v>516</v>
      </c>
      <c r="B362" s="2" t="s">
        <v>515</v>
      </c>
      <c r="C362" s="2" t="s">
        <v>27</v>
      </c>
      <c r="D362" s="2" t="s">
        <v>18</v>
      </c>
      <c r="E362" s="2" t="s">
        <v>46</v>
      </c>
      <c r="F362" s="2" t="s">
        <v>79</v>
      </c>
      <c r="G362" s="3">
        <v>22205</v>
      </c>
      <c r="H362" s="3">
        <v>4869</v>
      </c>
      <c r="I362" s="3">
        <v>5590</v>
      </c>
      <c r="J362" s="3">
        <v>62</v>
      </c>
      <c r="K362" s="3">
        <v>4</v>
      </c>
      <c r="L362" s="3">
        <v>27</v>
      </c>
      <c r="M362" s="3">
        <f t="shared" si="15"/>
        <v>93</v>
      </c>
      <c r="N362" s="4">
        <f t="shared" si="16"/>
        <v>1.9100431300061615E-2</v>
      </c>
      <c r="O362" s="4">
        <f t="shared" si="17"/>
        <v>0.21927493807700968</v>
      </c>
    </row>
    <row r="363" spans="1:15" x14ac:dyDescent="0.3">
      <c r="A363" s="2" t="s">
        <v>517</v>
      </c>
      <c r="B363" s="2" t="s">
        <v>515</v>
      </c>
      <c r="C363" s="2" t="s">
        <v>49</v>
      </c>
      <c r="D363" s="2" t="s">
        <v>50</v>
      </c>
      <c r="E363" s="2" t="s">
        <v>19</v>
      </c>
      <c r="F363" s="2" t="s">
        <v>30</v>
      </c>
      <c r="G363" s="3">
        <v>11606</v>
      </c>
      <c r="H363" s="3">
        <v>3799</v>
      </c>
      <c r="I363" s="3">
        <v>5773</v>
      </c>
      <c r="J363" s="3">
        <v>196</v>
      </c>
      <c r="K363" s="3">
        <v>33</v>
      </c>
      <c r="L363" s="3">
        <v>40</v>
      </c>
      <c r="M363" s="3">
        <f t="shared" si="15"/>
        <v>269</v>
      </c>
      <c r="N363" s="4">
        <f t="shared" si="16"/>
        <v>7.0808107396683334E-2</v>
      </c>
      <c r="O363" s="4">
        <f t="shared" si="17"/>
        <v>0.32733069102188522</v>
      </c>
    </row>
    <row r="364" spans="1:15" x14ac:dyDescent="0.3">
      <c r="A364" s="2" t="s">
        <v>518</v>
      </c>
      <c r="B364" s="2" t="s">
        <v>515</v>
      </c>
      <c r="C364" s="2" t="s">
        <v>27</v>
      </c>
      <c r="D364" s="2" t="s">
        <v>28</v>
      </c>
      <c r="E364" s="2" t="s">
        <v>24</v>
      </c>
      <c r="F364" s="2" t="s">
        <v>67</v>
      </c>
      <c r="G364" s="3">
        <v>51191</v>
      </c>
      <c r="H364" s="3">
        <v>38580</v>
      </c>
      <c r="I364" s="3">
        <v>59971</v>
      </c>
      <c r="J364" s="3">
        <v>733</v>
      </c>
      <c r="K364" s="3">
        <v>56</v>
      </c>
      <c r="L364" s="3">
        <v>250</v>
      </c>
      <c r="M364" s="3">
        <f t="shared" si="15"/>
        <v>1039</v>
      </c>
      <c r="N364" s="4">
        <f t="shared" si="16"/>
        <v>2.6931052358735094E-2</v>
      </c>
      <c r="O364" s="4">
        <f t="shared" si="17"/>
        <v>0.75364810220546585</v>
      </c>
    </row>
    <row r="365" spans="1:15" x14ac:dyDescent="0.3">
      <c r="A365" s="2" t="s">
        <v>519</v>
      </c>
      <c r="B365" s="2" t="s">
        <v>515</v>
      </c>
      <c r="C365" s="2" t="s">
        <v>73</v>
      </c>
      <c r="D365" s="2" t="s">
        <v>28</v>
      </c>
      <c r="E365" s="2" t="s">
        <v>40</v>
      </c>
      <c r="F365" s="2" t="s">
        <v>25</v>
      </c>
      <c r="G365" s="3">
        <v>51275</v>
      </c>
      <c r="H365" s="3">
        <v>28887</v>
      </c>
      <c r="I365" s="3">
        <v>47318</v>
      </c>
      <c r="J365" s="3">
        <v>1095</v>
      </c>
      <c r="K365" s="3">
        <v>200</v>
      </c>
      <c r="L365" s="3">
        <v>127</v>
      </c>
      <c r="M365" s="3">
        <f t="shared" si="15"/>
        <v>1422</v>
      </c>
      <c r="N365" s="4">
        <f t="shared" si="16"/>
        <v>4.9226295565479285E-2</v>
      </c>
      <c r="O365" s="4">
        <f t="shared" si="17"/>
        <v>0.56337396392003902</v>
      </c>
    </row>
    <row r="366" spans="1:15" x14ac:dyDescent="0.3">
      <c r="A366" s="2" t="s">
        <v>520</v>
      </c>
      <c r="B366" s="2" t="s">
        <v>521</v>
      </c>
      <c r="C366" s="2" t="s">
        <v>45</v>
      </c>
      <c r="D366" s="2" t="s">
        <v>18</v>
      </c>
      <c r="E366" s="2" t="s">
        <v>19</v>
      </c>
      <c r="F366" s="2" t="s">
        <v>30</v>
      </c>
      <c r="G366" s="3">
        <v>21679</v>
      </c>
      <c r="H366" s="3">
        <v>5969</v>
      </c>
      <c r="I366" s="3">
        <v>8273</v>
      </c>
      <c r="J366" s="3">
        <v>137</v>
      </c>
      <c r="K366" s="3">
        <v>23</v>
      </c>
      <c r="L366" s="3">
        <v>22</v>
      </c>
      <c r="M366" s="3">
        <f t="shared" si="15"/>
        <v>182</v>
      </c>
      <c r="N366" s="4">
        <f t="shared" si="16"/>
        <v>3.0490869492377282E-2</v>
      </c>
      <c r="O366" s="4">
        <f t="shared" si="17"/>
        <v>0.27533557820932703</v>
      </c>
    </row>
    <row r="367" spans="1:15" x14ac:dyDescent="0.3">
      <c r="A367" s="2" t="s">
        <v>522</v>
      </c>
      <c r="B367" s="2" t="s">
        <v>521</v>
      </c>
      <c r="C367" s="2" t="s">
        <v>27</v>
      </c>
      <c r="D367" s="2" t="s">
        <v>23</v>
      </c>
      <c r="E367" s="2" t="s">
        <v>40</v>
      </c>
      <c r="F367" s="2" t="s">
        <v>25</v>
      </c>
      <c r="G367" s="3">
        <v>37529</v>
      </c>
      <c r="H367" s="3">
        <v>4662</v>
      </c>
      <c r="I367" s="3">
        <v>6310</v>
      </c>
      <c r="J367" s="3">
        <v>121</v>
      </c>
      <c r="K367" s="3">
        <v>12</v>
      </c>
      <c r="L367" s="3">
        <v>30</v>
      </c>
      <c r="M367" s="3">
        <f t="shared" si="15"/>
        <v>163</v>
      </c>
      <c r="N367" s="4">
        <f t="shared" si="16"/>
        <v>3.4963534963534965E-2</v>
      </c>
      <c r="O367" s="4">
        <f t="shared" si="17"/>
        <v>0.12422393349143329</v>
      </c>
    </row>
    <row r="368" spans="1:15" x14ac:dyDescent="0.3">
      <c r="A368" s="2" t="s">
        <v>523</v>
      </c>
      <c r="B368" s="2" t="s">
        <v>521</v>
      </c>
      <c r="C368" s="2" t="s">
        <v>52</v>
      </c>
      <c r="D368" s="2" t="s">
        <v>50</v>
      </c>
      <c r="E368" s="2" t="s">
        <v>29</v>
      </c>
      <c r="F368" s="2" t="s">
        <v>41</v>
      </c>
      <c r="G368" s="3">
        <v>11895</v>
      </c>
      <c r="H368" s="3">
        <v>2557</v>
      </c>
      <c r="I368" s="3">
        <v>4215</v>
      </c>
      <c r="J368" s="3">
        <v>79</v>
      </c>
      <c r="K368" s="3">
        <v>11</v>
      </c>
      <c r="L368" s="3">
        <v>22</v>
      </c>
      <c r="M368" s="3">
        <f t="shared" si="15"/>
        <v>112</v>
      </c>
      <c r="N368" s="4">
        <f t="shared" si="16"/>
        <v>4.3801329683222527E-2</v>
      </c>
      <c r="O368" s="4">
        <f t="shared" si="17"/>
        <v>0.21496427070197563</v>
      </c>
    </row>
    <row r="369" spans="1:15" x14ac:dyDescent="0.3">
      <c r="A369" s="2" t="s">
        <v>524</v>
      </c>
      <c r="B369" s="2" t="s">
        <v>525</v>
      </c>
      <c r="C369" s="2" t="s">
        <v>83</v>
      </c>
      <c r="D369" s="2" t="s">
        <v>23</v>
      </c>
      <c r="E369" s="2" t="s">
        <v>46</v>
      </c>
      <c r="F369" s="2" t="s">
        <v>30</v>
      </c>
      <c r="G369" s="3">
        <v>37675</v>
      </c>
      <c r="H369" s="3">
        <v>5369</v>
      </c>
      <c r="I369" s="3">
        <v>8534</v>
      </c>
      <c r="J369" s="3">
        <v>48</v>
      </c>
      <c r="K369" s="3">
        <v>6</v>
      </c>
      <c r="L369" s="3">
        <v>17</v>
      </c>
      <c r="M369" s="3">
        <f t="shared" si="15"/>
        <v>71</v>
      </c>
      <c r="N369" s="4">
        <f t="shared" si="16"/>
        <v>1.3224064071521699E-2</v>
      </c>
      <c r="O369" s="4">
        <f t="shared" si="17"/>
        <v>0.14250829462508294</v>
      </c>
    </row>
    <row r="370" spans="1:15" x14ac:dyDescent="0.3">
      <c r="A370" s="2" t="s">
        <v>526</v>
      </c>
      <c r="B370" s="2" t="s">
        <v>525</v>
      </c>
      <c r="C370" s="2" t="s">
        <v>43</v>
      </c>
      <c r="D370" s="2" t="s">
        <v>23</v>
      </c>
      <c r="E370" s="2" t="s">
        <v>24</v>
      </c>
      <c r="F370" s="2" t="s">
        <v>67</v>
      </c>
      <c r="G370" s="3">
        <v>36799</v>
      </c>
      <c r="H370" s="3">
        <v>7913</v>
      </c>
      <c r="I370" s="3">
        <v>8733</v>
      </c>
      <c r="J370" s="3">
        <v>70</v>
      </c>
      <c r="K370" s="3">
        <v>14</v>
      </c>
      <c r="L370" s="3">
        <v>21</v>
      </c>
      <c r="M370" s="3">
        <f t="shared" si="15"/>
        <v>105</v>
      </c>
      <c r="N370" s="4">
        <f t="shared" si="16"/>
        <v>1.3269303677492733E-2</v>
      </c>
      <c r="O370" s="4">
        <f t="shared" si="17"/>
        <v>0.21503301720155438</v>
      </c>
    </row>
    <row r="371" spans="1:15" x14ac:dyDescent="0.3">
      <c r="A371" s="2" t="s">
        <v>527</v>
      </c>
      <c r="B371" s="2" t="s">
        <v>525</v>
      </c>
      <c r="C371" s="2" t="s">
        <v>45</v>
      </c>
      <c r="D371" s="2" t="s">
        <v>50</v>
      </c>
      <c r="E371" s="2" t="s">
        <v>29</v>
      </c>
      <c r="F371" s="2" t="s">
        <v>30</v>
      </c>
      <c r="G371" s="3">
        <v>11844</v>
      </c>
      <c r="H371" s="3">
        <v>3394</v>
      </c>
      <c r="I371" s="3">
        <v>5944</v>
      </c>
      <c r="J371" s="3">
        <v>100</v>
      </c>
      <c r="K371" s="3">
        <v>10</v>
      </c>
      <c r="L371" s="3">
        <v>24</v>
      </c>
      <c r="M371" s="3">
        <f t="shared" si="15"/>
        <v>134</v>
      </c>
      <c r="N371" s="4">
        <f t="shared" si="16"/>
        <v>3.9481437831467292E-2</v>
      </c>
      <c r="O371" s="4">
        <f t="shared" si="17"/>
        <v>0.28655859506923337</v>
      </c>
    </row>
    <row r="372" spans="1:15" x14ac:dyDescent="0.3">
      <c r="A372" s="2" t="s">
        <v>528</v>
      </c>
      <c r="B372" s="2" t="s">
        <v>525</v>
      </c>
      <c r="C372" s="2" t="s">
        <v>45</v>
      </c>
      <c r="D372" s="2" t="s">
        <v>28</v>
      </c>
      <c r="E372" s="2" t="s">
        <v>19</v>
      </c>
      <c r="F372" s="2" t="s">
        <v>47</v>
      </c>
      <c r="G372" s="3">
        <v>50419</v>
      </c>
      <c r="H372" s="3">
        <v>19215</v>
      </c>
      <c r="I372" s="3">
        <v>29971</v>
      </c>
      <c r="J372" s="3">
        <v>885</v>
      </c>
      <c r="K372" s="3">
        <v>68</v>
      </c>
      <c r="L372" s="3">
        <v>325</v>
      </c>
      <c r="M372" s="3">
        <f t="shared" si="15"/>
        <v>1278</v>
      </c>
      <c r="N372" s="4">
        <f t="shared" si="16"/>
        <v>6.6510538641686184E-2</v>
      </c>
      <c r="O372" s="4">
        <f t="shared" si="17"/>
        <v>0.38110632896328767</v>
      </c>
    </row>
    <row r="373" spans="1:15" x14ac:dyDescent="0.3">
      <c r="A373" s="2" t="s">
        <v>529</v>
      </c>
      <c r="B373" s="2" t="s">
        <v>530</v>
      </c>
      <c r="C373" s="2" t="s">
        <v>43</v>
      </c>
      <c r="D373" s="2" t="s">
        <v>33</v>
      </c>
      <c r="E373" s="2" t="s">
        <v>24</v>
      </c>
      <c r="F373" s="2" t="s">
        <v>20</v>
      </c>
      <c r="G373" s="3">
        <v>29732</v>
      </c>
      <c r="H373" s="3">
        <v>8239</v>
      </c>
      <c r="I373" s="3">
        <v>12840</v>
      </c>
      <c r="J373" s="3">
        <v>224</v>
      </c>
      <c r="K373" s="3">
        <v>26</v>
      </c>
      <c r="L373" s="3">
        <v>89</v>
      </c>
      <c r="M373" s="3">
        <f t="shared" si="15"/>
        <v>339</v>
      </c>
      <c r="N373" s="4">
        <f t="shared" si="16"/>
        <v>4.1145770117732731E-2</v>
      </c>
      <c r="O373" s="4">
        <f t="shared" si="17"/>
        <v>0.27710883896138838</v>
      </c>
    </row>
    <row r="374" spans="1:15" x14ac:dyDescent="0.3">
      <c r="A374" s="2" t="s">
        <v>531</v>
      </c>
      <c r="B374" s="2" t="s">
        <v>530</v>
      </c>
      <c r="C374" s="2" t="s">
        <v>45</v>
      </c>
      <c r="D374" s="2" t="s">
        <v>18</v>
      </c>
      <c r="E374" s="2" t="s">
        <v>24</v>
      </c>
      <c r="F374" s="2" t="s">
        <v>25</v>
      </c>
      <c r="G374" s="3">
        <v>21950</v>
      </c>
      <c r="H374" s="3">
        <v>5430</v>
      </c>
      <c r="I374" s="3">
        <v>6233</v>
      </c>
      <c r="J374" s="3">
        <v>49</v>
      </c>
      <c r="K374" s="3">
        <v>9</v>
      </c>
      <c r="L374" s="3">
        <v>14</v>
      </c>
      <c r="M374" s="3">
        <f t="shared" si="15"/>
        <v>72</v>
      </c>
      <c r="N374" s="4">
        <f t="shared" si="16"/>
        <v>1.3259668508287293E-2</v>
      </c>
      <c r="O374" s="4">
        <f t="shared" si="17"/>
        <v>0.24738041002277905</v>
      </c>
    </row>
    <row r="375" spans="1:15" x14ac:dyDescent="0.3">
      <c r="A375" s="2" t="s">
        <v>532</v>
      </c>
      <c r="B375" s="2" t="s">
        <v>530</v>
      </c>
      <c r="C375" s="2" t="s">
        <v>49</v>
      </c>
      <c r="D375" s="2" t="s">
        <v>23</v>
      </c>
      <c r="E375" s="2" t="s">
        <v>29</v>
      </c>
      <c r="F375" s="2" t="s">
        <v>25</v>
      </c>
      <c r="G375" s="3">
        <v>37520</v>
      </c>
      <c r="H375" s="3">
        <v>4023</v>
      </c>
      <c r="I375" s="3">
        <v>7043</v>
      </c>
      <c r="J375" s="3">
        <v>135</v>
      </c>
      <c r="K375" s="3">
        <v>17</v>
      </c>
      <c r="L375" s="3">
        <v>45</v>
      </c>
      <c r="M375" s="3">
        <f t="shared" si="15"/>
        <v>197</v>
      </c>
      <c r="N375" s="4">
        <f t="shared" si="16"/>
        <v>4.8968431518767092E-2</v>
      </c>
      <c r="O375" s="4">
        <f t="shared" si="17"/>
        <v>0.10722281449893391</v>
      </c>
    </row>
    <row r="376" spans="1:15" x14ac:dyDescent="0.3">
      <c r="A376" s="2" t="s">
        <v>533</v>
      </c>
      <c r="B376" s="2" t="s">
        <v>530</v>
      </c>
      <c r="C376" s="2" t="s">
        <v>17</v>
      </c>
      <c r="D376" s="2" t="s">
        <v>28</v>
      </c>
      <c r="E376" s="2" t="s">
        <v>34</v>
      </c>
      <c r="F376" s="2" t="s">
        <v>35</v>
      </c>
      <c r="G376" s="3">
        <v>51379</v>
      </c>
      <c r="H376" s="3">
        <v>40000</v>
      </c>
      <c r="I376" s="3">
        <v>60097</v>
      </c>
      <c r="J376" s="3">
        <v>1469</v>
      </c>
      <c r="K376" s="3">
        <v>196</v>
      </c>
      <c r="L376" s="3">
        <v>184</v>
      </c>
      <c r="M376" s="3">
        <f t="shared" si="15"/>
        <v>1849</v>
      </c>
      <c r="N376" s="4">
        <f t="shared" si="16"/>
        <v>4.6225000000000002E-2</v>
      </c>
      <c r="O376" s="4">
        <f t="shared" si="17"/>
        <v>0.7785281924521692</v>
      </c>
    </row>
    <row r="377" spans="1:15" x14ac:dyDescent="0.3">
      <c r="A377" s="2" t="s">
        <v>534</v>
      </c>
      <c r="B377" s="2" t="s">
        <v>535</v>
      </c>
      <c r="C377" s="2" t="s">
        <v>43</v>
      </c>
      <c r="D377" s="2" t="s">
        <v>23</v>
      </c>
      <c r="E377" s="2" t="s">
        <v>24</v>
      </c>
      <c r="F377" s="2" t="s">
        <v>67</v>
      </c>
      <c r="G377" s="3">
        <v>37390</v>
      </c>
      <c r="H377" s="3">
        <v>4340</v>
      </c>
      <c r="I377" s="3">
        <v>5936</v>
      </c>
      <c r="J377" s="3">
        <v>126</v>
      </c>
      <c r="K377" s="3">
        <v>21</v>
      </c>
      <c r="L377" s="3">
        <v>20</v>
      </c>
      <c r="M377" s="3">
        <f t="shared" si="15"/>
        <v>167</v>
      </c>
      <c r="N377" s="4">
        <f t="shared" si="16"/>
        <v>3.8479262672811057E-2</v>
      </c>
      <c r="O377" s="4">
        <f t="shared" si="17"/>
        <v>0.11607381652848354</v>
      </c>
    </row>
    <row r="378" spans="1:15" x14ac:dyDescent="0.3">
      <c r="A378" s="2" t="s">
        <v>536</v>
      </c>
      <c r="B378" s="2" t="s">
        <v>535</v>
      </c>
      <c r="C378" s="2" t="s">
        <v>17</v>
      </c>
      <c r="D378" s="2" t="s">
        <v>28</v>
      </c>
      <c r="E378" s="2" t="s">
        <v>29</v>
      </c>
      <c r="F378" s="2" t="s">
        <v>25</v>
      </c>
      <c r="G378" s="3">
        <v>50262</v>
      </c>
      <c r="H378" s="3">
        <v>25598</v>
      </c>
      <c r="I378" s="3">
        <v>41575</v>
      </c>
      <c r="J378" s="3">
        <v>732</v>
      </c>
      <c r="K378" s="3">
        <v>88</v>
      </c>
      <c r="L378" s="3">
        <v>263</v>
      </c>
      <c r="M378" s="3">
        <f t="shared" si="15"/>
        <v>1083</v>
      </c>
      <c r="N378" s="4">
        <f t="shared" si="16"/>
        <v>4.2307992811938436E-2</v>
      </c>
      <c r="O378" s="4">
        <f t="shared" si="17"/>
        <v>0.50929131351717005</v>
      </c>
    </row>
    <row r="379" spans="1:15" x14ac:dyDescent="0.3">
      <c r="A379" s="2" t="s">
        <v>537</v>
      </c>
      <c r="B379" s="2" t="s">
        <v>535</v>
      </c>
      <c r="C379" s="2" t="s">
        <v>52</v>
      </c>
      <c r="D379" s="2" t="s">
        <v>28</v>
      </c>
      <c r="E379" s="2" t="s">
        <v>24</v>
      </c>
      <c r="F379" s="2" t="s">
        <v>35</v>
      </c>
      <c r="G379" s="3">
        <v>50050</v>
      </c>
      <c r="H379" s="3">
        <v>36786</v>
      </c>
      <c r="I379" s="3">
        <v>64418</v>
      </c>
      <c r="J379" s="3">
        <v>497</v>
      </c>
      <c r="K379" s="3">
        <v>53</v>
      </c>
      <c r="L379" s="3">
        <v>176</v>
      </c>
      <c r="M379" s="3">
        <f t="shared" si="15"/>
        <v>726</v>
      </c>
      <c r="N379" s="4">
        <f t="shared" si="16"/>
        <v>1.9735769042570545E-2</v>
      </c>
      <c r="O379" s="4">
        <f t="shared" si="17"/>
        <v>0.73498501498501501</v>
      </c>
    </row>
    <row r="380" spans="1:15" x14ac:dyDescent="0.3">
      <c r="A380" s="2" t="s">
        <v>538</v>
      </c>
      <c r="B380" s="2" t="s">
        <v>539</v>
      </c>
      <c r="C380" s="2" t="s">
        <v>27</v>
      </c>
      <c r="D380" s="2" t="s">
        <v>33</v>
      </c>
      <c r="E380" s="2" t="s">
        <v>19</v>
      </c>
      <c r="F380" s="2" t="s">
        <v>79</v>
      </c>
      <c r="G380" s="3">
        <v>29208</v>
      </c>
      <c r="H380" s="3">
        <v>6098</v>
      </c>
      <c r="I380" s="3">
        <v>10635</v>
      </c>
      <c r="J380" s="3">
        <v>315</v>
      </c>
      <c r="K380" s="3">
        <v>53</v>
      </c>
      <c r="L380" s="3">
        <v>57</v>
      </c>
      <c r="M380" s="3">
        <f t="shared" si="15"/>
        <v>425</v>
      </c>
      <c r="N380" s="4">
        <f t="shared" si="16"/>
        <v>6.969498196129878E-2</v>
      </c>
      <c r="O380" s="4">
        <f t="shared" si="17"/>
        <v>0.20877841687208984</v>
      </c>
    </row>
    <row r="381" spans="1:15" x14ac:dyDescent="0.3">
      <c r="A381" s="2" t="s">
        <v>540</v>
      </c>
      <c r="B381" s="2" t="s">
        <v>539</v>
      </c>
      <c r="C381" s="2" t="s">
        <v>43</v>
      </c>
      <c r="D381" s="2" t="s">
        <v>50</v>
      </c>
      <c r="E381" s="2" t="s">
        <v>24</v>
      </c>
      <c r="F381" s="2" t="s">
        <v>35</v>
      </c>
      <c r="G381" s="3">
        <v>11841</v>
      </c>
      <c r="H381" s="3">
        <v>4101</v>
      </c>
      <c r="I381" s="3">
        <v>7140</v>
      </c>
      <c r="J381" s="3">
        <v>63</v>
      </c>
      <c r="K381" s="3">
        <v>4</v>
      </c>
      <c r="L381" s="3">
        <v>19</v>
      </c>
      <c r="M381" s="3">
        <f t="shared" si="15"/>
        <v>86</v>
      </c>
      <c r="N381" s="4">
        <f t="shared" si="16"/>
        <v>2.0970495001219214E-2</v>
      </c>
      <c r="O381" s="4">
        <f t="shared" si="17"/>
        <v>0.34633899163921966</v>
      </c>
    </row>
    <row r="382" spans="1:15" x14ac:dyDescent="0.3">
      <c r="A382" s="2" t="s">
        <v>541</v>
      </c>
      <c r="B382" s="2" t="s">
        <v>539</v>
      </c>
      <c r="C382" s="2" t="s">
        <v>39</v>
      </c>
      <c r="D382" s="2" t="s">
        <v>28</v>
      </c>
      <c r="E382" s="2" t="s">
        <v>24</v>
      </c>
      <c r="F382" s="2" t="s">
        <v>79</v>
      </c>
      <c r="G382" s="3">
        <v>50553</v>
      </c>
      <c r="H382" s="3">
        <v>35190</v>
      </c>
      <c r="I382" s="3">
        <v>43014</v>
      </c>
      <c r="J382" s="3">
        <v>1241</v>
      </c>
      <c r="K382" s="3">
        <v>205</v>
      </c>
      <c r="L382" s="3">
        <v>281</v>
      </c>
      <c r="M382" s="3">
        <f t="shared" si="15"/>
        <v>1727</v>
      </c>
      <c r="N382" s="4">
        <f t="shared" si="16"/>
        <v>4.9076442171071329E-2</v>
      </c>
      <c r="O382" s="4">
        <f t="shared" si="17"/>
        <v>0.69610112159515758</v>
      </c>
    </row>
    <row r="383" spans="1:15" x14ac:dyDescent="0.3">
      <c r="A383" s="2" t="s">
        <v>542</v>
      </c>
      <c r="B383" s="2" t="s">
        <v>543</v>
      </c>
      <c r="C383" s="2" t="s">
        <v>43</v>
      </c>
      <c r="D383" s="2" t="s">
        <v>18</v>
      </c>
      <c r="E383" s="2" t="s">
        <v>29</v>
      </c>
      <c r="F383" s="2" t="s">
        <v>35</v>
      </c>
      <c r="G383" s="3">
        <v>21757</v>
      </c>
      <c r="H383" s="3">
        <v>3319</v>
      </c>
      <c r="I383" s="3">
        <v>4276</v>
      </c>
      <c r="J383" s="3">
        <v>162</v>
      </c>
      <c r="K383" s="3">
        <v>15</v>
      </c>
      <c r="L383" s="3">
        <v>54</v>
      </c>
      <c r="M383" s="3">
        <f t="shared" si="15"/>
        <v>231</v>
      </c>
      <c r="N383" s="4">
        <f t="shared" si="16"/>
        <v>6.959927689062971E-2</v>
      </c>
      <c r="O383" s="4">
        <f t="shared" si="17"/>
        <v>0.15254860504665166</v>
      </c>
    </row>
    <row r="384" spans="1:15" x14ac:dyDescent="0.3">
      <c r="A384" s="2" t="s">
        <v>544</v>
      </c>
      <c r="B384" s="2" t="s">
        <v>543</v>
      </c>
      <c r="C384" s="2" t="s">
        <v>45</v>
      </c>
      <c r="D384" s="2" t="s">
        <v>18</v>
      </c>
      <c r="E384" s="2" t="s">
        <v>19</v>
      </c>
      <c r="F384" s="2" t="s">
        <v>41</v>
      </c>
      <c r="G384" s="3">
        <v>22209</v>
      </c>
      <c r="H384" s="3">
        <v>3874</v>
      </c>
      <c r="I384" s="3">
        <v>6578</v>
      </c>
      <c r="J384" s="3">
        <v>93</v>
      </c>
      <c r="K384" s="3">
        <v>8</v>
      </c>
      <c r="L384" s="3">
        <v>37</v>
      </c>
      <c r="M384" s="3">
        <f t="shared" si="15"/>
        <v>138</v>
      </c>
      <c r="N384" s="4">
        <f t="shared" si="16"/>
        <v>3.5622096024780586E-2</v>
      </c>
      <c r="O384" s="4">
        <f t="shared" si="17"/>
        <v>0.17443378810392182</v>
      </c>
    </row>
    <row r="385" spans="1:15" x14ac:dyDescent="0.3">
      <c r="A385" s="2" t="s">
        <v>545</v>
      </c>
      <c r="B385" s="2" t="s">
        <v>546</v>
      </c>
      <c r="C385" s="2" t="s">
        <v>27</v>
      </c>
      <c r="D385" s="2" t="s">
        <v>50</v>
      </c>
      <c r="E385" s="2" t="s">
        <v>46</v>
      </c>
      <c r="F385" s="2" t="s">
        <v>20</v>
      </c>
      <c r="G385" s="3">
        <v>11868</v>
      </c>
      <c r="H385" s="3">
        <v>1450</v>
      </c>
      <c r="I385" s="3">
        <v>2022</v>
      </c>
      <c r="J385" s="3">
        <v>14</v>
      </c>
      <c r="K385" s="3">
        <v>2</v>
      </c>
      <c r="L385" s="3">
        <v>2</v>
      </c>
      <c r="M385" s="3">
        <f t="shared" si="15"/>
        <v>18</v>
      </c>
      <c r="N385" s="4">
        <f t="shared" si="16"/>
        <v>1.2413793103448275E-2</v>
      </c>
      <c r="O385" s="4">
        <f t="shared" si="17"/>
        <v>0.12217728345129761</v>
      </c>
    </row>
    <row r="386" spans="1:15" x14ac:dyDescent="0.3">
      <c r="A386" s="2" t="s">
        <v>547</v>
      </c>
      <c r="B386" s="2" t="s">
        <v>548</v>
      </c>
      <c r="C386" s="2" t="s">
        <v>64</v>
      </c>
      <c r="D386" s="2" t="s">
        <v>18</v>
      </c>
      <c r="E386" s="2" t="s">
        <v>24</v>
      </c>
      <c r="F386" s="2" t="s">
        <v>67</v>
      </c>
      <c r="G386" s="3">
        <v>22008</v>
      </c>
      <c r="H386" s="3">
        <v>5240</v>
      </c>
      <c r="I386" s="3">
        <v>5984</v>
      </c>
      <c r="J386" s="3">
        <v>136</v>
      </c>
      <c r="K386" s="3">
        <v>21</v>
      </c>
      <c r="L386" s="3">
        <v>32</v>
      </c>
      <c r="M386" s="3">
        <f t="shared" ref="M386:M449" si="18">SUM(J386:L386)</f>
        <v>189</v>
      </c>
      <c r="N386" s="4">
        <f t="shared" ref="N386:N449" si="19">IFERROR(M386/H386,0)</f>
        <v>3.6068702290076339E-2</v>
      </c>
      <c r="O386" s="4">
        <f t="shared" ref="O386:O449" si="20">IFERROR(H386/G386,0)</f>
        <v>0.23809523809523808</v>
      </c>
    </row>
    <row r="387" spans="1:15" x14ac:dyDescent="0.3">
      <c r="A387" s="2" t="s">
        <v>549</v>
      </c>
      <c r="B387" s="2" t="s">
        <v>548</v>
      </c>
      <c r="C387" s="2" t="s">
        <v>55</v>
      </c>
      <c r="D387" s="2" t="s">
        <v>50</v>
      </c>
      <c r="E387" s="2" t="s">
        <v>24</v>
      </c>
      <c r="F387" s="2" t="s">
        <v>35</v>
      </c>
      <c r="G387" s="3">
        <v>11824</v>
      </c>
      <c r="H387" s="3">
        <v>2538</v>
      </c>
      <c r="I387" s="3">
        <v>3415</v>
      </c>
      <c r="J387" s="3">
        <v>59</v>
      </c>
      <c r="K387" s="3">
        <v>8</v>
      </c>
      <c r="L387" s="3">
        <v>13</v>
      </c>
      <c r="M387" s="3">
        <f t="shared" si="18"/>
        <v>80</v>
      </c>
      <c r="N387" s="4">
        <f t="shared" si="19"/>
        <v>3.1520882584712369E-2</v>
      </c>
      <c r="O387" s="4">
        <f t="shared" si="20"/>
        <v>0.21464817320703652</v>
      </c>
    </row>
    <row r="388" spans="1:15" x14ac:dyDescent="0.3">
      <c r="A388" s="2" t="s">
        <v>550</v>
      </c>
      <c r="B388" s="2" t="s">
        <v>551</v>
      </c>
      <c r="C388" s="2" t="s">
        <v>55</v>
      </c>
      <c r="D388" s="2" t="s">
        <v>33</v>
      </c>
      <c r="E388" s="2" t="s">
        <v>29</v>
      </c>
      <c r="F388" s="2" t="s">
        <v>79</v>
      </c>
      <c r="G388" s="3">
        <v>29998</v>
      </c>
      <c r="H388" s="3">
        <v>9348</v>
      </c>
      <c r="I388" s="3">
        <v>15102</v>
      </c>
      <c r="J388" s="3">
        <v>436</v>
      </c>
      <c r="K388" s="3">
        <v>48</v>
      </c>
      <c r="L388" s="3">
        <v>133</v>
      </c>
      <c r="M388" s="3">
        <f t="shared" si="18"/>
        <v>617</v>
      </c>
      <c r="N388" s="4">
        <f t="shared" si="19"/>
        <v>6.6003423192126653E-2</v>
      </c>
      <c r="O388" s="4">
        <f t="shared" si="20"/>
        <v>0.31162077471831456</v>
      </c>
    </row>
    <row r="389" spans="1:15" x14ac:dyDescent="0.3">
      <c r="A389" s="2" t="s">
        <v>552</v>
      </c>
      <c r="B389" s="2" t="s">
        <v>553</v>
      </c>
      <c r="C389" s="2" t="s">
        <v>43</v>
      </c>
      <c r="D389" s="2" t="s">
        <v>33</v>
      </c>
      <c r="E389" s="2" t="s">
        <v>40</v>
      </c>
      <c r="F389" s="2" t="s">
        <v>30</v>
      </c>
      <c r="G389" s="3">
        <v>29333</v>
      </c>
      <c r="H389" s="3">
        <v>8001</v>
      </c>
      <c r="I389" s="3">
        <v>10556</v>
      </c>
      <c r="J389" s="3">
        <v>429</v>
      </c>
      <c r="K389" s="3">
        <v>62</v>
      </c>
      <c r="L389" s="3">
        <v>77</v>
      </c>
      <c r="M389" s="3">
        <f t="shared" si="18"/>
        <v>568</v>
      </c>
      <c r="N389" s="4">
        <f t="shared" si="19"/>
        <v>7.0991126109236344E-2</v>
      </c>
      <c r="O389" s="4">
        <f t="shared" si="20"/>
        <v>0.27276446323253672</v>
      </c>
    </row>
    <row r="390" spans="1:15" x14ac:dyDescent="0.3">
      <c r="A390" s="2" t="s">
        <v>554</v>
      </c>
      <c r="B390" s="2" t="s">
        <v>553</v>
      </c>
      <c r="C390" s="2" t="s">
        <v>73</v>
      </c>
      <c r="D390" s="2" t="s">
        <v>18</v>
      </c>
      <c r="E390" s="2" t="s">
        <v>29</v>
      </c>
      <c r="F390" s="2" t="s">
        <v>47</v>
      </c>
      <c r="G390" s="3">
        <v>22087</v>
      </c>
      <c r="H390" s="3">
        <v>3020</v>
      </c>
      <c r="I390" s="3">
        <v>3370</v>
      </c>
      <c r="J390" s="3">
        <v>129</v>
      </c>
      <c r="K390" s="3">
        <v>24</v>
      </c>
      <c r="L390" s="3">
        <v>20</v>
      </c>
      <c r="M390" s="3">
        <f t="shared" si="18"/>
        <v>173</v>
      </c>
      <c r="N390" s="4">
        <f t="shared" si="19"/>
        <v>5.728476821192053E-2</v>
      </c>
      <c r="O390" s="4">
        <f t="shared" si="20"/>
        <v>0.13673201430705845</v>
      </c>
    </row>
    <row r="391" spans="1:15" x14ac:dyDescent="0.3">
      <c r="A391" s="2" t="s">
        <v>555</v>
      </c>
      <c r="B391" s="2" t="s">
        <v>553</v>
      </c>
      <c r="C391" s="2" t="s">
        <v>49</v>
      </c>
      <c r="D391" s="2" t="s">
        <v>50</v>
      </c>
      <c r="E391" s="2" t="s">
        <v>34</v>
      </c>
      <c r="F391" s="2" t="s">
        <v>30</v>
      </c>
      <c r="G391" s="3">
        <v>12142</v>
      </c>
      <c r="H391" s="3">
        <v>2778</v>
      </c>
      <c r="I391" s="3">
        <v>3160</v>
      </c>
      <c r="J391" s="3">
        <v>100</v>
      </c>
      <c r="K391" s="3">
        <v>20</v>
      </c>
      <c r="L391" s="3">
        <v>18</v>
      </c>
      <c r="M391" s="3">
        <f t="shared" si="18"/>
        <v>138</v>
      </c>
      <c r="N391" s="4">
        <f t="shared" si="19"/>
        <v>4.9676025917926567E-2</v>
      </c>
      <c r="O391" s="4">
        <f t="shared" si="20"/>
        <v>0.22879262065557568</v>
      </c>
    </row>
    <row r="392" spans="1:15" x14ac:dyDescent="0.3">
      <c r="A392" s="2" t="s">
        <v>556</v>
      </c>
      <c r="B392" s="2" t="s">
        <v>553</v>
      </c>
      <c r="C392" s="2" t="s">
        <v>39</v>
      </c>
      <c r="D392" s="2" t="s">
        <v>28</v>
      </c>
      <c r="E392" s="2" t="s">
        <v>46</v>
      </c>
      <c r="F392" s="2" t="s">
        <v>41</v>
      </c>
      <c r="G392" s="3">
        <v>50757</v>
      </c>
      <c r="H392" s="3">
        <v>20851</v>
      </c>
      <c r="I392" s="3">
        <v>27083</v>
      </c>
      <c r="J392" s="3">
        <v>361</v>
      </c>
      <c r="K392" s="3">
        <v>72</v>
      </c>
      <c r="L392" s="3">
        <v>107</v>
      </c>
      <c r="M392" s="3">
        <f t="shared" si="18"/>
        <v>540</v>
      </c>
      <c r="N392" s="4">
        <f t="shared" si="19"/>
        <v>2.5898038463383052E-2</v>
      </c>
      <c r="O392" s="4">
        <f t="shared" si="20"/>
        <v>0.41080048072187086</v>
      </c>
    </row>
    <row r="393" spans="1:15" x14ac:dyDescent="0.3">
      <c r="A393" s="2" t="s">
        <v>557</v>
      </c>
      <c r="B393" s="2" t="s">
        <v>558</v>
      </c>
      <c r="C393" s="2" t="s">
        <v>45</v>
      </c>
      <c r="D393" s="2" t="s">
        <v>33</v>
      </c>
      <c r="E393" s="2" t="s">
        <v>29</v>
      </c>
      <c r="F393" s="2" t="s">
        <v>47</v>
      </c>
      <c r="G393" s="3">
        <v>29840</v>
      </c>
      <c r="H393" s="3">
        <v>12387</v>
      </c>
      <c r="I393" s="3">
        <v>21731</v>
      </c>
      <c r="J393" s="3">
        <v>503</v>
      </c>
      <c r="K393" s="3">
        <v>65</v>
      </c>
      <c r="L393" s="3">
        <v>67</v>
      </c>
      <c r="M393" s="3">
        <f t="shared" si="18"/>
        <v>635</v>
      </c>
      <c r="N393" s="4">
        <f t="shared" si="19"/>
        <v>5.1263421328812467E-2</v>
      </c>
      <c r="O393" s="4">
        <f t="shared" si="20"/>
        <v>0.41511394101876675</v>
      </c>
    </row>
    <row r="394" spans="1:15" x14ac:dyDescent="0.3">
      <c r="A394" s="2" t="s">
        <v>559</v>
      </c>
      <c r="B394" s="2" t="s">
        <v>560</v>
      </c>
      <c r="C394" s="2" t="s">
        <v>27</v>
      </c>
      <c r="D394" s="2" t="s">
        <v>33</v>
      </c>
      <c r="E394" s="2" t="s">
        <v>29</v>
      </c>
      <c r="F394" s="2" t="s">
        <v>79</v>
      </c>
      <c r="G394" s="3">
        <v>29902</v>
      </c>
      <c r="H394" s="3">
        <v>7216</v>
      </c>
      <c r="I394" s="3">
        <v>8389</v>
      </c>
      <c r="J394" s="3">
        <v>189</v>
      </c>
      <c r="K394" s="3">
        <v>14</v>
      </c>
      <c r="L394" s="3">
        <v>79</v>
      </c>
      <c r="M394" s="3">
        <f t="shared" si="18"/>
        <v>282</v>
      </c>
      <c r="N394" s="4">
        <f t="shared" si="19"/>
        <v>3.907982261640798E-2</v>
      </c>
      <c r="O394" s="4">
        <f t="shared" si="20"/>
        <v>0.24132165072570397</v>
      </c>
    </row>
    <row r="395" spans="1:15" x14ac:dyDescent="0.3">
      <c r="A395" s="2" t="s">
        <v>561</v>
      </c>
      <c r="B395" s="2" t="s">
        <v>560</v>
      </c>
      <c r="C395" s="2" t="s">
        <v>83</v>
      </c>
      <c r="D395" s="2" t="s">
        <v>50</v>
      </c>
      <c r="E395" s="2" t="s">
        <v>34</v>
      </c>
      <c r="F395" s="2" t="s">
        <v>47</v>
      </c>
      <c r="G395" s="3">
        <v>12183</v>
      </c>
      <c r="H395" s="3">
        <v>2798</v>
      </c>
      <c r="I395" s="3">
        <v>3095</v>
      </c>
      <c r="J395" s="3">
        <v>72</v>
      </c>
      <c r="K395" s="3">
        <v>5</v>
      </c>
      <c r="L395" s="3">
        <v>29</v>
      </c>
      <c r="M395" s="3">
        <f t="shared" si="18"/>
        <v>106</v>
      </c>
      <c r="N395" s="4">
        <f t="shared" si="19"/>
        <v>3.7884203002144387E-2</v>
      </c>
      <c r="O395" s="4">
        <f t="shared" si="20"/>
        <v>0.22966428630058278</v>
      </c>
    </row>
    <row r="396" spans="1:15" x14ac:dyDescent="0.3">
      <c r="A396" s="2" t="s">
        <v>562</v>
      </c>
      <c r="B396" s="2" t="s">
        <v>560</v>
      </c>
      <c r="C396" s="2" t="s">
        <v>27</v>
      </c>
      <c r="D396" s="2" t="s">
        <v>28</v>
      </c>
      <c r="E396" s="2" t="s">
        <v>40</v>
      </c>
      <c r="F396" s="2" t="s">
        <v>41</v>
      </c>
      <c r="G396" s="3">
        <v>50785</v>
      </c>
      <c r="H396" s="3">
        <v>36296</v>
      </c>
      <c r="I396" s="3">
        <v>56338</v>
      </c>
      <c r="J396" s="3">
        <v>2198</v>
      </c>
      <c r="K396" s="3">
        <v>373</v>
      </c>
      <c r="L396" s="3">
        <v>750</v>
      </c>
      <c r="M396" s="3">
        <f t="shared" si="18"/>
        <v>3321</v>
      </c>
      <c r="N396" s="4">
        <f t="shared" si="19"/>
        <v>9.1497685695393433E-2</v>
      </c>
      <c r="O396" s="4">
        <f t="shared" si="20"/>
        <v>0.7146992222112829</v>
      </c>
    </row>
    <row r="397" spans="1:15" x14ac:dyDescent="0.3">
      <c r="A397" s="2" t="s">
        <v>563</v>
      </c>
      <c r="B397" s="2" t="s">
        <v>564</v>
      </c>
      <c r="C397" s="2" t="s">
        <v>73</v>
      </c>
      <c r="D397" s="2" t="s">
        <v>28</v>
      </c>
      <c r="E397" s="2" t="s">
        <v>29</v>
      </c>
      <c r="F397" s="2" t="s">
        <v>41</v>
      </c>
      <c r="G397" s="3">
        <v>50733</v>
      </c>
      <c r="H397" s="3">
        <v>14940</v>
      </c>
      <c r="I397" s="3">
        <v>17862</v>
      </c>
      <c r="J397" s="3">
        <v>256</v>
      </c>
      <c r="K397" s="3">
        <v>34</v>
      </c>
      <c r="L397" s="3">
        <v>67</v>
      </c>
      <c r="M397" s="3">
        <f t="shared" si="18"/>
        <v>357</v>
      </c>
      <c r="N397" s="4">
        <f t="shared" si="19"/>
        <v>2.389558232931727E-2</v>
      </c>
      <c r="O397" s="4">
        <f t="shared" si="20"/>
        <v>0.29448288096505232</v>
      </c>
    </row>
    <row r="398" spans="1:15" x14ac:dyDescent="0.3">
      <c r="A398" s="2" t="s">
        <v>565</v>
      </c>
      <c r="B398" s="2" t="s">
        <v>566</v>
      </c>
      <c r="C398" s="2" t="s">
        <v>22</v>
      </c>
      <c r="D398" s="2" t="s">
        <v>18</v>
      </c>
      <c r="E398" s="2" t="s">
        <v>34</v>
      </c>
      <c r="F398" s="2" t="s">
        <v>67</v>
      </c>
      <c r="G398" s="3">
        <v>22014</v>
      </c>
      <c r="H398" s="3">
        <v>2651</v>
      </c>
      <c r="I398" s="3">
        <v>3415</v>
      </c>
      <c r="J398" s="3">
        <v>94</v>
      </c>
      <c r="K398" s="3">
        <v>9</v>
      </c>
      <c r="L398" s="3">
        <v>22</v>
      </c>
      <c r="M398" s="3">
        <f t="shared" si="18"/>
        <v>125</v>
      </c>
      <c r="N398" s="4">
        <f t="shared" si="19"/>
        <v>4.7152018106374954E-2</v>
      </c>
      <c r="O398" s="4">
        <f t="shared" si="20"/>
        <v>0.12042336694830562</v>
      </c>
    </row>
    <row r="399" spans="1:15" x14ac:dyDescent="0.3">
      <c r="A399" s="2" t="s">
        <v>567</v>
      </c>
      <c r="B399" s="2" t="s">
        <v>566</v>
      </c>
      <c r="C399" s="2" t="s">
        <v>39</v>
      </c>
      <c r="D399" s="2" t="s">
        <v>18</v>
      </c>
      <c r="E399" s="2" t="s">
        <v>34</v>
      </c>
      <c r="F399" s="2" t="s">
        <v>47</v>
      </c>
      <c r="G399" s="3">
        <v>22042</v>
      </c>
      <c r="H399" s="3">
        <v>4056</v>
      </c>
      <c r="I399" s="3">
        <v>6692</v>
      </c>
      <c r="J399" s="3">
        <v>106</v>
      </c>
      <c r="K399" s="3">
        <v>18</v>
      </c>
      <c r="L399" s="3">
        <v>27</v>
      </c>
      <c r="M399" s="3">
        <f t="shared" si="18"/>
        <v>151</v>
      </c>
      <c r="N399" s="4">
        <f t="shared" si="19"/>
        <v>3.7228796844181462E-2</v>
      </c>
      <c r="O399" s="4">
        <f t="shared" si="20"/>
        <v>0.18401234007803285</v>
      </c>
    </row>
    <row r="400" spans="1:15" x14ac:dyDescent="0.3">
      <c r="A400" s="2" t="s">
        <v>568</v>
      </c>
      <c r="B400" s="2" t="s">
        <v>566</v>
      </c>
      <c r="C400" s="2" t="s">
        <v>43</v>
      </c>
      <c r="D400" s="2" t="s">
        <v>23</v>
      </c>
      <c r="E400" s="2" t="s">
        <v>19</v>
      </c>
      <c r="F400" s="2" t="s">
        <v>67</v>
      </c>
      <c r="G400" s="3">
        <v>37620</v>
      </c>
      <c r="H400" s="3">
        <v>5076</v>
      </c>
      <c r="I400" s="3">
        <v>7513</v>
      </c>
      <c r="J400" s="3">
        <v>119</v>
      </c>
      <c r="K400" s="3">
        <v>11</v>
      </c>
      <c r="L400" s="3">
        <v>22</v>
      </c>
      <c r="M400" s="3">
        <f t="shared" si="18"/>
        <v>152</v>
      </c>
      <c r="N400" s="4">
        <f t="shared" si="19"/>
        <v>2.9944838455476755E-2</v>
      </c>
      <c r="O400" s="4">
        <f t="shared" si="20"/>
        <v>0.13492822966507176</v>
      </c>
    </row>
    <row r="401" spans="1:15" x14ac:dyDescent="0.3">
      <c r="A401" s="2" t="s">
        <v>569</v>
      </c>
      <c r="B401" s="2" t="s">
        <v>566</v>
      </c>
      <c r="C401" s="2" t="s">
        <v>27</v>
      </c>
      <c r="D401" s="2" t="s">
        <v>28</v>
      </c>
      <c r="E401" s="2" t="s">
        <v>19</v>
      </c>
      <c r="F401" s="2" t="s">
        <v>41</v>
      </c>
      <c r="G401" s="3">
        <v>52008</v>
      </c>
      <c r="H401" s="3">
        <v>27976</v>
      </c>
      <c r="I401" s="3">
        <v>45218</v>
      </c>
      <c r="J401" s="3">
        <v>431</v>
      </c>
      <c r="K401" s="3">
        <v>76</v>
      </c>
      <c r="L401" s="3">
        <v>93</v>
      </c>
      <c r="M401" s="3">
        <f t="shared" si="18"/>
        <v>600</v>
      </c>
      <c r="N401" s="4">
        <f t="shared" si="19"/>
        <v>2.1446954532456392E-2</v>
      </c>
      <c r="O401" s="4">
        <f t="shared" si="20"/>
        <v>0.5379172435009999</v>
      </c>
    </row>
    <row r="402" spans="1:15" x14ac:dyDescent="0.3">
      <c r="A402" s="2" t="s">
        <v>570</v>
      </c>
      <c r="B402" s="2" t="s">
        <v>571</v>
      </c>
      <c r="C402" s="2" t="s">
        <v>52</v>
      </c>
      <c r="D402" s="2" t="s">
        <v>18</v>
      </c>
      <c r="E402" s="2" t="s">
        <v>29</v>
      </c>
      <c r="F402" s="2" t="s">
        <v>79</v>
      </c>
      <c r="G402" s="3">
        <v>22022</v>
      </c>
      <c r="H402" s="3">
        <v>5409</v>
      </c>
      <c r="I402" s="3">
        <v>8769</v>
      </c>
      <c r="J402" s="3">
        <v>171</v>
      </c>
      <c r="K402" s="3">
        <v>25</v>
      </c>
      <c r="L402" s="3">
        <v>61</v>
      </c>
      <c r="M402" s="3">
        <f t="shared" si="18"/>
        <v>257</v>
      </c>
      <c r="N402" s="4">
        <f t="shared" si="19"/>
        <v>4.7513403586614898E-2</v>
      </c>
      <c r="O402" s="4">
        <f t="shared" si="20"/>
        <v>0.24561801834529107</v>
      </c>
    </row>
    <row r="403" spans="1:15" x14ac:dyDescent="0.3">
      <c r="A403" s="2" t="s">
        <v>572</v>
      </c>
      <c r="B403" s="2" t="s">
        <v>571</v>
      </c>
      <c r="C403" s="2" t="s">
        <v>43</v>
      </c>
      <c r="D403" s="2" t="s">
        <v>23</v>
      </c>
      <c r="E403" s="2" t="s">
        <v>46</v>
      </c>
      <c r="F403" s="2" t="s">
        <v>25</v>
      </c>
      <c r="G403" s="3">
        <v>38750</v>
      </c>
      <c r="H403" s="3">
        <v>4380</v>
      </c>
      <c r="I403" s="3">
        <v>6149</v>
      </c>
      <c r="J403" s="3">
        <v>31</v>
      </c>
      <c r="K403" s="3">
        <v>4</v>
      </c>
      <c r="L403" s="3">
        <v>6</v>
      </c>
      <c r="M403" s="3">
        <f t="shared" si="18"/>
        <v>41</v>
      </c>
      <c r="N403" s="4">
        <f t="shared" si="19"/>
        <v>9.3607305936073051E-3</v>
      </c>
      <c r="O403" s="4">
        <f t="shared" si="20"/>
        <v>0.11303225806451613</v>
      </c>
    </row>
    <row r="404" spans="1:15" x14ac:dyDescent="0.3">
      <c r="A404" s="2" t="s">
        <v>573</v>
      </c>
      <c r="B404" s="2" t="s">
        <v>571</v>
      </c>
      <c r="C404" s="2" t="s">
        <v>83</v>
      </c>
      <c r="D404" s="2" t="s">
        <v>28</v>
      </c>
      <c r="E404" s="2" t="s">
        <v>46</v>
      </c>
      <c r="F404" s="2" t="s">
        <v>47</v>
      </c>
      <c r="G404" s="3">
        <v>51913</v>
      </c>
      <c r="H404" s="3">
        <v>18208</v>
      </c>
      <c r="I404" s="3">
        <v>29853</v>
      </c>
      <c r="J404" s="3">
        <v>207</v>
      </c>
      <c r="K404" s="3">
        <v>33</v>
      </c>
      <c r="L404" s="3">
        <v>46</v>
      </c>
      <c r="M404" s="3">
        <f t="shared" si="18"/>
        <v>286</v>
      </c>
      <c r="N404" s="4">
        <f t="shared" si="19"/>
        <v>1.5707381370826012E-2</v>
      </c>
      <c r="O404" s="4">
        <f t="shared" si="20"/>
        <v>0.35074066226186118</v>
      </c>
    </row>
    <row r="405" spans="1:15" x14ac:dyDescent="0.3">
      <c r="A405" s="2" t="s">
        <v>574</v>
      </c>
      <c r="B405" s="2" t="s">
        <v>571</v>
      </c>
      <c r="C405" s="2" t="s">
        <v>27</v>
      </c>
      <c r="D405" s="2" t="s">
        <v>28</v>
      </c>
      <c r="E405" s="2" t="s">
        <v>46</v>
      </c>
      <c r="F405" s="2" t="s">
        <v>67</v>
      </c>
      <c r="G405" s="3">
        <v>50618</v>
      </c>
      <c r="H405" s="3">
        <v>33862</v>
      </c>
      <c r="I405" s="3">
        <v>53872</v>
      </c>
      <c r="J405" s="3">
        <v>687</v>
      </c>
      <c r="K405" s="3">
        <v>75</v>
      </c>
      <c r="L405" s="3">
        <v>266</v>
      </c>
      <c r="M405" s="3">
        <f t="shared" si="18"/>
        <v>1028</v>
      </c>
      <c r="N405" s="4">
        <f t="shared" si="19"/>
        <v>3.0358513968460222E-2</v>
      </c>
      <c r="O405" s="4">
        <f t="shared" si="20"/>
        <v>0.66897151211031647</v>
      </c>
    </row>
    <row r="406" spans="1:15" x14ac:dyDescent="0.3">
      <c r="A406" s="2" t="s">
        <v>575</v>
      </c>
      <c r="B406" s="2" t="s">
        <v>576</v>
      </c>
      <c r="C406" s="2" t="s">
        <v>73</v>
      </c>
      <c r="D406" s="2" t="s">
        <v>50</v>
      </c>
      <c r="E406" s="2" t="s">
        <v>46</v>
      </c>
      <c r="F406" s="2" t="s">
        <v>41</v>
      </c>
      <c r="G406" s="3">
        <v>11971</v>
      </c>
      <c r="H406" s="3">
        <v>1807</v>
      </c>
      <c r="I406" s="3">
        <v>3124</v>
      </c>
      <c r="J406" s="3">
        <v>27</v>
      </c>
      <c r="K406" s="3">
        <v>3</v>
      </c>
      <c r="L406" s="3">
        <v>9</v>
      </c>
      <c r="M406" s="3">
        <f t="shared" si="18"/>
        <v>39</v>
      </c>
      <c r="N406" s="4">
        <f t="shared" si="19"/>
        <v>2.1582733812949641E-2</v>
      </c>
      <c r="O406" s="4">
        <f t="shared" si="20"/>
        <v>0.15094812463453344</v>
      </c>
    </row>
    <row r="407" spans="1:15" x14ac:dyDescent="0.3">
      <c r="A407" s="2" t="s">
        <v>577</v>
      </c>
      <c r="B407" s="2" t="s">
        <v>576</v>
      </c>
      <c r="C407" s="2" t="s">
        <v>27</v>
      </c>
      <c r="D407" s="2" t="s">
        <v>28</v>
      </c>
      <c r="E407" s="2" t="s">
        <v>24</v>
      </c>
      <c r="F407" s="2" t="s">
        <v>79</v>
      </c>
      <c r="G407" s="3">
        <v>51237</v>
      </c>
      <c r="H407" s="3">
        <v>28408</v>
      </c>
      <c r="I407" s="3">
        <v>48502</v>
      </c>
      <c r="J407" s="3">
        <v>649</v>
      </c>
      <c r="K407" s="3">
        <v>55</v>
      </c>
      <c r="L407" s="3">
        <v>130</v>
      </c>
      <c r="M407" s="3">
        <f t="shared" si="18"/>
        <v>834</v>
      </c>
      <c r="N407" s="4">
        <f t="shared" si="19"/>
        <v>2.9357927344410024E-2</v>
      </c>
      <c r="O407" s="4">
        <f t="shared" si="20"/>
        <v>0.55444307824423755</v>
      </c>
    </row>
    <row r="408" spans="1:15" x14ac:dyDescent="0.3">
      <c r="A408" s="2" t="s">
        <v>578</v>
      </c>
      <c r="B408" s="2" t="s">
        <v>579</v>
      </c>
      <c r="C408" s="2" t="s">
        <v>83</v>
      </c>
      <c r="D408" s="2" t="s">
        <v>33</v>
      </c>
      <c r="E408" s="2" t="s">
        <v>29</v>
      </c>
      <c r="F408" s="2" t="s">
        <v>79</v>
      </c>
      <c r="G408" s="3">
        <v>30089</v>
      </c>
      <c r="H408" s="3">
        <v>11719</v>
      </c>
      <c r="I408" s="3">
        <v>17041</v>
      </c>
      <c r="J408" s="3">
        <v>528</v>
      </c>
      <c r="K408" s="3">
        <v>75</v>
      </c>
      <c r="L408" s="3">
        <v>72</v>
      </c>
      <c r="M408" s="3">
        <f t="shared" si="18"/>
        <v>675</v>
      </c>
      <c r="N408" s="4">
        <f t="shared" si="19"/>
        <v>5.7598771226213839E-2</v>
      </c>
      <c r="O408" s="4">
        <f t="shared" si="20"/>
        <v>0.38947788228256175</v>
      </c>
    </row>
    <row r="409" spans="1:15" x14ac:dyDescent="0.3">
      <c r="A409" s="2" t="s">
        <v>580</v>
      </c>
      <c r="B409" s="2" t="s">
        <v>579</v>
      </c>
      <c r="C409" s="2" t="s">
        <v>83</v>
      </c>
      <c r="D409" s="2" t="s">
        <v>23</v>
      </c>
      <c r="E409" s="2" t="s">
        <v>46</v>
      </c>
      <c r="F409" s="2" t="s">
        <v>41</v>
      </c>
      <c r="G409" s="3">
        <v>37669</v>
      </c>
      <c r="H409" s="3">
        <v>6616</v>
      </c>
      <c r="I409" s="3">
        <v>10823</v>
      </c>
      <c r="J409" s="3">
        <v>60</v>
      </c>
      <c r="K409" s="3">
        <v>7</v>
      </c>
      <c r="L409" s="3">
        <v>20</v>
      </c>
      <c r="M409" s="3">
        <f t="shared" si="18"/>
        <v>87</v>
      </c>
      <c r="N409" s="4">
        <f t="shared" si="19"/>
        <v>1.314993954050786E-2</v>
      </c>
      <c r="O409" s="4">
        <f t="shared" si="20"/>
        <v>0.17563513764634051</v>
      </c>
    </row>
    <row r="410" spans="1:15" x14ac:dyDescent="0.3">
      <c r="A410" s="2" t="s">
        <v>581</v>
      </c>
      <c r="B410" s="2" t="s">
        <v>579</v>
      </c>
      <c r="C410" s="2" t="s">
        <v>45</v>
      </c>
      <c r="D410" s="2" t="s">
        <v>50</v>
      </c>
      <c r="E410" s="2" t="s">
        <v>34</v>
      </c>
      <c r="F410" s="2" t="s">
        <v>67</v>
      </c>
      <c r="G410" s="3">
        <v>12219</v>
      </c>
      <c r="H410" s="3">
        <v>1830</v>
      </c>
      <c r="I410" s="3">
        <v>3131</v>
      </c>
      <c r="J410" s="3">
        <v>31</v>
      </c>
      <c r="K410" s="3">
        <v>2</v>
      </c>
      <c r="L410" s="3">
        <v>11</v>
      </c>
      <c r="M410" s="3">
        <f t="shared" si="18"/>
        <v>44</v>
      </c>
      <c r="N410" s="4">
        <f t="shared" si="19"/>
        <v>2.4043715846994537E-2</v>
      </c>
      <c r="O410" s="4">
        <f t="shared" si="20"/>
        <v>0.14976675669040021</v>
      </c>
    </row>
    <row r="411" spans="1:15" x14ac:dyDescent="0.3">
      <c r="A411" s="2" t="s">
        <v>582</v>
      </c>
      <c r="B411" s="2" t="s">
        <v>583</v>
      </c>
      <c r="C411" s="2" t="s">
        <v>49</v>
      </c>
      <c r="D411" s="2" t="s">
        <v>33</v>
      </c>
      <c r="E411" s="2" t="s">
        <v>24</v>
      </c>
      <c r="F411" s="2" t="s">
        <v>35</v>
      </c>
      <c r="G411" s="3">
        <v>29644</v>
      </c>
      <c r="H411" s="3">
        <v>7102</v>
      </c>
      <c r="I411" s="3">
        <v>11380</v>
      </c>
      <c r="J411" s="3">
        <v>71</v>
      </c>
      <c r="K411" s="3">
        <v>13</v>
      </c>
      <c r="L411" s="3">
        <v>11</v>
      </c>
      <c r="M411" s="3">
        <f t="shared" si="18"/>
        <v>95</v>
      </c>
      <c r="N411" s="4">
        <f t="shared" si="19"/>
        <v>1.3376513658124471E-2</v>
      </c>
      <c r="O411" s="4">
        <f t="shared" si="20"/>
        <v>0.23957630549183645</v>
      </c>
    </row>
    <row r="412" spans="1:15" x14ac:dyDescent="0.3">
      <c r="A412" s="2" t="s">
        <v>584</v>
      </c>
      <c r="B412" s="2" t="s">
        <v>583</v>
      </c>
      <c r="C412" s="2" t="s">
        <v>49</v>
      </c>
      <c r="D412" s="2" t="s">
        <v>18</v>
      </c>
      <c r="E412" s="2" t="s">
        <v>29</v>
      </c>
      <c r="F412" s="2" t="s">
        <v>41</v>
      </c>
      <c r="G412" s="3">
        <v>22714</v>
      </c>
      <c r="H412" s="3">
        <v>5879</v>
      </c>
      <c r="I412" s="3">
        <v>6706</v>
      </c>
      <c r="J412" s="3">
        <v>264</v>
      </c>
      <c r="K412" s="3">
        <v>46</v>
      </c>
      <c r="L412" s="3">
        <v>38</v>
      </c>
      <c r="M412" s="3">
        <f t="shared" si="18"/>
        <v>348</v>
      </c>
      <c r="N412" s="4">
        <f t="shared" si="19"/>
        <v>5.9193740432046268E-2</v>
      </c>
      <c r="O412" s="4">
        <f t="shared" si="20"/>
        <v>0.25882715505855419</v>
      </c>
    </row>
    <row r="413" spans="1:15" x14ac:dyDescent="0.3">
      <c r="A413" s="2" t="s">
        <v>585</v>
      </c>
      <c r="B413" s="2" t="s">
        <v>583</v>
      </c>
      <c r="C413" s="2" t="s">
        <v>49</v>
      </c>
      <c r="D413" s="2" t="s">
        <v>28</v>
      </c>
      <c r="E413" s="2" t="s">
        <v>24</v>
      </c>
      <c r="F413" s="2" t="s">
        <v>41</v>
      </c>
      <c r="G413" s="3">
        <v>51109</v>
      </c>
      <c r="H413" s="3">
        <v>30257</v>
      </c>
      <c r="I413" s="3">
        <v>38551</v>
      </c>
      <c r="J413" s="3">
        <v>756</v>
      </c>
      <c r="K413" s="3">
        <v>90</v>
      </c>
      <c r="L413" s="3">
        <v>146</v>
      </c>
      <c r="M413" s="3">
        <f t="shared" si="18"/>
        <v>992</v>
      </c>
      <c r="N413" s="4">
        <f t="shared" si="19"/>
        <v>3.2785801632680044E-2</v>
      </c>
      <c r="O413" s="4">
        <f t="shared" si="20"/>
        <v>0.59200923516406112</v>
      </c>
    </row>
    <row r="414" spans="1:15" x14ac:dyDescent="0.3">
      <c r="A414" s="2" t="s">
        <v>586</v>
      </c>
      <c r="B414" s="2" t="s">
        <v>587</v>
      </c>
      <c r="C414" s="2" t="s">
        <v>83</v>
      </c>
      <c r="D414" s="2" t="s">
        <v>28</v>
      </c>
      <c r="E414" s="2" t="s">
        <v>19</v>
      </c>
      <c r="F414" s="2" t="s">
        <v>41</v>
      </c>
      <c r="G414" s="3">
        <v>51837</v>
      </c>
      <c r="H414" s="3">
        <v>35114</v>
      </c>
      <c r="I414" s="3">
        <v>51748</v>
      </c>
      <c r="J414" s="3">
        <v>1861</v>
      </c>
      <c r="K414" s="3">
        <v>248</v>
      </c>
      <c r="L414" s="3">
        <v>261</v>
      </c>
      <c r="M414" s="3">
        <f t="shared" si="18"/>
        <v>2370</v>
      </c>
      <c r="N414" s="4">
        <f t="shared" si="19"/>
        <v>6.7494446659452076E-2</v>
      </c>
      <c r="O414" s="4">
        <f t="shared" si="20"/>
        <v>0.6773925960221463</v>
      </c>
    </row>
    <row r="415" spans="1:15" x14ac:dyDescent="0.3">
      <c r="A415" s="2" t="s">
        <v>588</v>
      </c>
      <c r="B415" s="2" t="s">
        <v>587</v>
      </c>
      <c r="C415" s="2" t="s">
        <v>73</v>
      </c>
      <c r="D415" s="2" t="s">
        <v>28</v>
      </c>
      <c r="E415" s="2" t="s">
        <v>29</v>
      </c>
      <c r="F415" s="2" t="s">
        <v>41</v>
      </c>
      <c r="G415" s="3">
        <v>52375</v>
      </c>
      <c r="H415" s="3">
        <v>27752</v>
      </c>
      <c r="I415" s="3">
        <v>44628</v>
      </c>
      <c r="J415" s="3">
        <v>1118</v>
      </c>
      <c r="K415" s="3">
        <v>207</v>
      </c>
      <c r="L415" s="3">
        <v>315</v>
      </c>
      <c r="M415" s="3">
        <f t="shared" si="18"/>
        <v>1640</v>
      </c>
      <c r="N415" s="4">
        <f t="shared" si="19"/>
        <v>5.9094840011530703E-2</v>
      </c>
      <c r="O415" s="4">
        <f t="shared" si="20"/>
        <v>0.52987112171837714</v>
      </c>
    </row>
    <row r="416" spans="1:15" x14ac:dyDescent="0.3">
      <c r="A416" s="2" t="s">
        <v>589</v>
      </c>
      <c r="B416" s="2" t="s">
        <v>590</v>
      </c>
      <c r="C416" s="2" t="s">
        <v>39</v>
      </c>
      <c r="D416" s="2" t="s">
        <v>33</v>
      </c>
      <c r="E416" s="2" t="s">
        <v>40</v>
      </c>
      <c r="F416" s="2" t="s">
        <v>41</v>
      </c>
      <c r="G416" s="3">
        <v>29671</v>
      </c>
      <c r="H416" s="3">
        <v>5618</v>
      </c>
      <c r="I416" s="3">
        <v>7298</v>
      </c>
      <c r="J416" s="3">
        <v>94</v>
      </c>
      <c r="K416" s="3">
        <v>19</v>
      </c>
      <c r="L416" s="3">
        <v>28</v>
      </c>
      <c r="M416" s="3">
        <f t="shared" si="18"/>
        <v>141</v>
      </c>
      <c r="N416" s="4">
        <f t="shared" si="19"/>
        <v>2.5097899608401565E-2</v>
      </c>
      <c r="O416" s="4">
        <f t="shared" si="20"/>
        <v>0.18934312965521891</v>
      </c>
    </row>
    <row r="417" spans="1:15" x14ac:dyDescent="0.3">
      <c r="A417" s="2" t="s">
        <v>591</v>
      </c>
      <c r="B417" s="2" t="s">
        <v>590</v>
      </c>
      <c r="C417" s="2" t="s">
        <v>45</v>
      </c>
      <c r="D417" s="2" t="s">
        <v>18</v>
      </c>
      <c r="E417" s="2" t="s">
        <v>29</v>
      </c>
      <c r="F417" s="2" t="s">
        <v>67</v>
      </c>
      <c r="G417" s="3">
        <v>22735</v>
      </c>
      <c r="H417" s="3">
        <v>6562</v>
      </c>
      <c r="I417" s="3">
        <v>10995</v>
      </c>
      <c r="J417" s="3">
        <v>321</v>
      </c>
      <c r="K417" s="3">
        <v>47</v>
      </c>
      <c r="L417" s="3">
        <v>75</v>
      </c>
      <c r="M417" s="3">
        <f t="shared" si="18"/>
        <v>443</v>
      </c>
      <c r="N417" s="4">
        <f t="shared" si="19"/>
        <v>6.7509905516610791E-2</v>
      </c>
      <c r="O417" s="4">
        <f t="shared" si="20"/>
        <v>0.28862986584561251</v>
      </c>
    </row>
    <row r="418" spans="1:15" x14ac:dyDescent="0.3">
      <c r="A418" s="2" t="s">
        <v>592</v>
      </c>
      <c r="B418" s="2" t="s">
        <v>590</v>
      </c>
      <c r="C418" s="2" t="s">
        <v>43</v>
      </c>
      <c r="D418" s="2" t="s">
        <v>23</v>
      </c>
      <c r="E418" s="2" t="s">
        <v>29</v>
      </c>
      <c r="F418" s="2" t="s">
        <v>20</v>
      </c>
      <c r="G418" s="3">
        <v>37755</v>
      </c>
      <c r="H418" s="3">
        <v>4960</v>
      </c>
      <c r="I418" s="3">
        <v>7477</v>
      </c>
      <c r="J418" s="3">
        <v>116</v>
      </c>
      <c r="K418" s="3">
        <v>8</v>
      </c>
      <c r="L418" s="3">
        <v>27</v>
      </c>
      <c r="M418" s="3">
        <f t="shared" si="18"/>
        <v>151</v>
      </c>
      <c r="N418" s="4">
        <f t="shared" si="19"/>
        <v>3.0443548387096776E-2</v>
      </c>
      <c r="O418" s="4">
        <f t="shared" si="20"/>
        <v>0.13137332803602172</v>
      </c>
    </row>
    <row r="419" spans="1:15" x14ac:dyDescent="0.3">
      <c r="A419" s="2" t="s">
        <v>593</v>
      </c>
      <c r="B419" s="2" t="s">
        <v>590</v>
      </c>
      <c r="C419" s="2" t="s">
        <v>45</v>
      </c>
      <c r="D419" s="2" t="s">
        <v>23</v>
      </c>
      <c r="E419" s="2" t="s">
        <v>24</v>
      </c>
      <c r="F419" s="2" t="s">
        <v>25</v>
      </c>
      <c r="G419" s="3">
        <v>38668</v>
      </c>
      <c r="H419" s="3">
        <v>7010</v>
      </c>
      <c r="I419" s="3">
        <v>11601</v>
      </c>
      <c r="J419" s="3">
        <v>85</v>
      </c>
      <c r="K419" s="3">
        <v>13</v>
      </c>
      <c r="L419" s="3">
        <v>13</v>
      </c>
      <c r="M419" s="3">
        <f t="shared" si="18"/>
        <v>111</v>
      </c>
      <c r="N419" s="4">
        <f t="shared" si="19"/>
        <v>1.5834522111269615E-2</v>
      </c>
      <c r="O419" s="4">
        <f t="shared" si="20"/>
        <v>0.18128685217751112</v>
      </c>
    </row>
    <row r="420" spans="1:15" x14ac:dyDescent="0.3">
      <c r="A420" s="2" t="s">
        <v>594</v>
      </c>
      <c r="B420" s="2" t="s">
        <v>590</v>
      </c>
      <c r="C420" s="2" t="s">
        <v>49</v>
      </c>
      <c r="D420" s="2" t="s">
        <v>28</v>
      </c>
      <c r="E420" s="2" t="s">
        <v>34</v>
      </c>
      <c r="F420" s="2" t="s">
        <v>41</v>
      </c>
      <c r="G420" s="3">
        <v>51028</v>
      </c>
      <c r="H420" s="3">
        <v>14611</v>
      </c>
      <c r="I420" s="3">
        <v>23956</v>
      </c>
      <c r="J420" s="3">
        <v>345</v>
      </c>
      <c r="K420" s="3">
        <v>40</v>
      </c>
      <c r="L420" s="3">
        <v>62</v>
      </c>
      <c r="M420" s="3">
        <f t="shared" si="18"/>
        <v>447</v>
      </c>
      <c r="N420" s="4">
        <f t="shared" si="19"/>
        <v>3.0593388542878654E-2</v>
      </c>
      <c r="O420" s="4">
        <f t="shared" si="20"/>
        <v>0.28633299365054482</v>
      </c>
    </row>
    <row r="421" spans="1:15" x14ac:dyDescent="0.3">
      <c r="A421" s="2" t="s">
        <v>595</v>
      </c>
      <c r="B421" s="2" t="s">
        <v>596</v>
      </c>
      <c r="C421" s="2" t="s">
        <v>83</v>
      </c>
      <c r="D421" s="2" t="s">
        <v>18</v>
      </c>
      <c r="E421" s="2" t="s">
        <v>24</v>
      </c>
      <c r="F421" s="2" t="s">
        <v>67</v>
      </c>
      <c r="G421" s="3">
        <v>22644</v>
      </c>
      <c r="H421" s="3">
        <v>5127</v>
      </c>
      <c r="I421" s="3">
        <v>5833</v>
      </c>
      <c r="J421" s="3">
        <v>96</v>
      </c>
      <c r="K421" s="3">
        <v>14</v>
      </c>
      <c r="L421" s="3">
        <v>28</v>
      </c>
      <c r="M421" s="3">
        <f t="shared" si="18"/>
        <v>138</v>
      </c>
      <c r="N421" s="4">
        <f t="shared" si="19"/>
        <v>2.6916325336454067E-2</v>
      </c>
      <c r="O421" s="4">
        <f t="shared" si="20"/>
        <v>0.22641759406465289</v>
      </c>
    </row>
    <row r="422" spans="1:15" x14ac:dyDescent="0.3">
      <c r="A422" s="2" t="s">
        <v>597</v>
      </c>
      <c r="B422" s="2" t="s">
        <v>596</v>
      </c>
      <c r="C422" s="2" t="s">
        <v>22</v>
      </c>
      <c r="D422" s="2" t="s">
        <v>23</v>
      </c>
      <c r="E422" s="2" t="s">
        <v>34</v>
      </c>
      <c r="F422" s="2" t="s">
        <v>41</v>
      </c>
      <c r="G422" s="3">
        <v>39088</v>
      </c>
      <c r="H422" s="3">
        <v>7246</v>
      </c>
      <c r="I422" s="3">
        <v>10888</v>
      </c>
      <c r="J422" s="3">
        <v>98</v>
      </c>
      <c r="K422" s="3">
        <v>17</v>
      </c>
      <c r="L422" s="3">
        <v>23</v>
      </c>
      <c r="M422" s="3">
        <f t="shared" si="18"/>
        <v>138</v>
      </c>
      <c r="N422" s="4">
        <f t="shared" si="19"/>
        <v>1.9044990339497653E-2</v>
      </c>
      <c r="O422" s="4">
        <f t="shared" si="20"/>
        <v>0.18537658616455177</v>
      </c>
    </row>
    <row r="423" spans="1:15" x14ac:dyDescent="0.3">
      <c r="A423" s="2" t="s">
        <v>598</v>
      </c>
      <c r="B423" s="2" t="s">
        <v>596</v>
      </c>
      <c r="C423" s="2" t="s">
        <v>64</v>
      </c>
      <c r="D423" s="2" t="s">
        <v>50</v>
      </c>
      <c r="E423" s="2" t="s">
        <v>24</v>
      </c>
      <c r="F423" s="2" t="s">
        <v>67</v>
      </c>
      <c r="G423" s="3">
        <v>12151</v>
      </c>
      <c r="H423" s="3">
        <v>2191</v>
      </c>
      <c r="I423" s="3">
        <v>3021</v>
      </c>
      <c r="J423" s="3">
        <v>39</v>
      </c>
      <c r="K423" s="3">
        <v>6</v>
      </c>
      <c r="L423" s="3">
        <v>7</v>
      </c>
      <c r="M423" s="3">
        <f t="shared" si="18"/>
        <v>52</v>
      </c>
      <c r="N423" s="4">
        <f t="shared" si="19"/>
        <v>2.3733455043359195E-2</v>
      </c>
      <c r="O423" s="4">
        <f t="shared" si="20"/>
        <v>0.18031437741749651</v>
      </c>
    </row>
    <row r="424" spans="1:15" x14ac:dyDescent="0.3">
      <c r="A424" s="2" t="s">
        <v>599</v>
      </c>
      <c r="B424" s="2" t="s">
        <v>596</v>
      </c>
      <c r="C424" s="2" t="s">
        <v>49</v>
      </c>
      <c r="D424" s="2" t="s">
        <v>50</v>
      </c>
      <c r="E424" s="2" t="s">
        <v>24</v>
      </c>
      <c r="F424" s="2" t="s">
        <v>25</v>
      </c>
      <c r="G424" s="3">
        <v>12122</v>
      </c>
      <c r="H424" s="3">
        <v>3273</v>
      </c>
      <c r="I424" s="3">
        <v>4049</v>
      </c>
      <c r="J424" s="3">
        <v>73</v>
      </c>
      <c r="K424" s="3">
        <v>7</v>
      </c>
      <c r="L424" s="3">
        <v>17</v>
      </c>
      <c r="M424" s="3">
        <f t="shared" si="18"/>
        <v>97</v>
      </c>
      <c r="N424" s="4">
        <f t="shared" si="19"/>
        <v>2.9636419187289948E-2</v>
      </c>
      <c r="O424" s="4">
        <f t="shared" si="20"/>
        <v>0.27000494967827093</v>
      </c>
    </row>
    <row r="425" spans="1:15" x14ac:dyDescent="0.3">
      <c r="A425" s="2" t="s">
        <v>600</v>
      </c>
      <c r="B425" s="2" t="s">
        <v>596</v>
      </c>
      <c r="C425" s="2" t="s">
        <v>52</v>
      </c>
      <c r="D425" s="2" t="s">
        <v>28</v>
      </c>
      <c r="E425" s="2" t="s">
        <v>46</v>
      </c>
      <c r="F425" s="2" t="s">
        <v>30</v>
      </c>
      <c r="G425" s="3">
        <v>51173</v>
      </c>
      <c r="H425" s="3">
        <v>26550</v>
      </c>
      <c r="I425" s="3">
        <v>35993</v>
      </c>
      <c r="J425" s="3">
        <v>263</v>
      </c>
      <c r="K425" s="3">
        <v>43</v>
      </c>
      <c r="L425" s="3">
        <v>69</v>
      </c>
      <c r="M425" s="3">
        <f t="shared" si="18"/>
        <v>375</v>
      </c>
      <c r="N425" s="4">
        <f t="shared" si="19"/>
        <v>1.4124293785310734E-2</v>
      </c>
      <c r="O425" s="4">
        <f t="shared" si="20"/>
        <v>0.51882828835518735</v>
      </c>
    </row>
    <row r="426" spans="1:15" x14ac:dyDescent="0.3">
      <c r="A426" s="2" t="s">
        <v>601</v>
      </c>
      <c r="B426" s="2" t="s">
        <v>602</v>
      </c>
      <c r="C426" s="2" t="s">
        <v>49</v>
      </c>
      <c r="D426" s="2" t="s">
        <v>33</v>
      </c>
      <c r="E426" s="2" t="s">
        <v>40</v>
      </c>
      <c r="F426" s="2" t="s">
        <v>20</v>
      </c>
      <c r="G426" s="3">
        <v>30292</v>
      </c>
      <c r="H426" s="3">
        <v>13011</v>
      </c>
      <c r="I426" s="3">
        <v>16438</v>
      </c>
      <c r="J426" s="3">
        <v>642</v>
      </c>
      <c r="K426" s="3">
        <v>117</v>
      </c>
      <c r="L426" s="3">
        <v>195</v>
      </c>
      <c r="M426" s="3">
        <f t="shared" si="18"/>
        <v>954</v>
      </c>
      <c r="N426" s="4">
        <f t="shared" si="19"/>
        <v>7.3322573207286149E-2</v>
      </c>
      <c r="O426" s="4">
        <f t="shared" si="20"/>
        <v>0.42951934504159511</v>
      </c>
    </row>
    <row r="427" spans="1:15" x14ac:dyDescent="0.3">
      <c r="A427" s="2" t="s">
        <v>603</v>
      </c>
      <c r="B427" s="2" t="s">
        <v>602</v>
      </c>
      <c r="C427" s="2" t="s">
        <v>39</v>
      </c>
      <c r="D427" s="2" t="s">
        <v>18</v>
      </c>
      <c r="E427" s="2" t="s">
        <v>24</v>
      </c>
      <c r="F427" s="2" t="s">
        <v>20</v>
      </c>
      <c r="G427" s="3">
        <v>22889</v>
      </c>
      <c r="H427" s="3">
        <v>6043</v>
      </c>
      <c r="I427" s="3">
        <v>6705</v>
      </c>
      <c r="J427" s="3">
        <v>130</v>
      </c>
      <c r="K427" s="3">
        <v>18</v>
      </c>
      <c r="L427" s="3">
        <v>47</v>
      </c>
      <c r="M427" s="3">
        <f t="shared" si="18"/>
        <v>195</v>
      </c>
      <c r="N427" s="4">
        <f t="shared" si="19"/>
        <v>3.2268740691709416E-2</v>
      </c>
      <c r="O427" s="4">
        <f t="shared" si="20"/>
        <v>0.26401328148892483</v>
      </c>
    </row>
    <row r="428" spans="1:15" x14ac:dyDescent="0.3">
      <c r="A428" s="2" t="s">
        <v>604</v>
      </c>
      <c r="B428" s="2" t="s">
        <v>602</v>
      </c>
      <c r="C428" s="2" t="s">
        <v>22</v>
      </c>
      <c r="D428" s="2" t="s">
        <v>18</v>
      </c>
      <c r="E428" s="2" t="s">
        <v>29</v>
      </c>
      <c r="F428" s="2" t="s">
        <v>25</v>
      </c>
      <c r="G428" s="3">
        <v>22773</v>
      </c>
      <c r="H428" s="3">
        <v>3242</v>
      </c>
      <c r="I428" s="3">
        <v>4806</v>
      </c>
      <c r="J428" s="3">
        <v>138</v>
      </c>
      <c r="K428" s="3">
        <v>21</v>
      </c>
      <c r="L428" s="3">
        <v>30</v>
      </c>
      <c r="M428" s="3">
        <f t="shared" si="18"/>
        <v>189</v>
      </c>
      <c r="N428" s="4">
        <f t="shared" si="19"/>
        <v>5.8297347316471314E-2</v>
      </c>
      <c r="O428" s="4">
        <f t="shared" si="20"/>
        <v>0.14236156852412946</v>
      </c>
    </row>
    <row r="429" spans="1:15" x14ac:dyDescent="0.3">
      <c r="A429" s="2" t="s">
        <v>605</v>
      </c>
      <c r="B429" s="2" t="s">
        <v>602</v>
      </c>
      <c r="C429" s="2" t="s">
        <v>39</v>
      </c>
      <c r="D429" s="2" t="s">
        <v>28</v>
      </c>
      <c r="E429" s="2" t="s">
        <v>24</v>
      </c>
      <c r="F429" s="2" t="s">
        <v>67</v>
      </c>
      <c r="G429" s="3">
        <v>51545</v>
      </c>
      <c r="H429" s="3">
        <v>14900</v>
      </c>
      <c r="I429" s="3">
        <v>18483</v>
      </c>
      <c r="J429" s="3">
        <v>333</v>
      </c>
      <c r="K429" s="3">
        <v>46</v>
      </c>
      <c r="L429" s="3">
        <v>104</v>
      </c>
      <c r="M429" s="3">
        <f t="shared" si="18"/>
        <v>483</v>
      </c>
      <c r="N429" s="4">
        <f t="shared" si="19"/>
        <v>3.2416107382550338E-2</v>
      </c>
      <c r="O429" s="4">
        <f t="shared" si="20"/>
        <v>0.28906780483073041</v>
      </c>
    </row>
    <row r="430" spans="1:15" x14ac:dyDescent="0.3">
      <c r="A430" s="2" t="s">
        <v>606</v>
      </c>
      <c r="B430" s="2" t="s">
        <v>607</v>
      </c>
      <c r="C430" s="2" t="s">
        <v>73</v>
      </c>
      <c r="D430" s="2" t="s">
        <v>33</v>
      </c>
      <c r="E430" s="2" t="s">
        <v>46</v>
      </c>
      <c r="F430" s="2" t="s">
        <v>79</v>
      </c>
      <c r="G430" s="3">
        <v>30852</v>
      </c>
      <c r="H430" s="3">
        <v>5712</v>
      </c>
      <c r="I430" s="3">
        <v>9751</v>
      </c>
      <c r="J430" s="3">
        <v>103</v>
      </c>
      <c r="K430" s="3">
        <v>13</v>
      </c>
      <c r="L430" s="3">
        <v>35</v>
      </c>
      <c r="M430" s="3">
        <f t="shared" si="18"/>
        <v>151</v>
      </c>
      <c r="N430" s="4">
        <f t="shared" si="19"/>
        <v>2.6435574229691877E-2</v>
      </c>
      <c r="O430" s="4">
        <f t="shared" si="20"/>
        <v>0.18514196810579542</v>
      </c>
    </row>
    <row r="431" spans="1:15" x14ac:dyDescent="0.3">
      <c r="A431" s="2" t="s">
        <v>608</v>
      </c>
      <c r="B431" s="2" t="s">
        <v>607</v>
      </c>
      <c r="C431" s="2" t="s">
        <v>27</v>
      </c>
      <c r="D431" s="2" t="s">
        <v>18</v>
      </c>
      <c r="E431" s="2" t="s">
        <v>24</v>
      </c>
      <c r="F431" s="2" t="s">
        <v>30</v>
      </c>
      <c r="G431" s="3">
        <v>22306</v>
      </c>
      <c r="H431" s="3">
        <v>4464</v>
      </c>
      <c r="I431" s="3">
        <v>6341</v>
      </c>
      <c r="J431" s="3">
        <v>115</v>
      </c>
      <c r="K431" s="3">
        <v>13</v>
      </c>
      <c r="L431" s="3">
        <v>49</v>
      </c>
      <c r="M431" s="3">
        <f t="shared" si="18"/>
        <v>177</v>
      </c>
      <c r="N431" s="4">
        <f t="shared" si="19"/>
        <v>3.9650537634408602E-2</v>
      </c>
      <c r="O431" s="4">
        <f t="shared" si="20"/>
        <v>0.20012552676409934</v>
      </c>
    </row>
    <row r="432" spans="1:15" x14ac:dyDescent="0.3">
      <c r="A432" s="2" t="s">
        <v>609</v>
      </c>
      <c r="B432" s="2" t="s">
        <v>607</v>
      </c>
      <c r="C432" s="2" t="s">
        <v>52</v>
      </c>
      <c r="D432" s="2" t="s">
        <v>23</v>
      </c>
      <c r="E432" s="2" t="s">
        <v>46</v>
      </c>
      <c r="F432" s="2" t="s">
        <v>20</v>
      </c>
      <c r="G432" s="3">
        <v>37735</v>
      </c>
      <c r="H432" s="3">
        <v>6633</v>
      </c>
      <c r="I432" s="3">
        <v>8946</v>
      </c>
      <c r="J432" s="3">
        <v>90</v>
      </c>
      <c r="K432" s="3">
        <v>16</v>
      </c>
      <c r="L432" s="3">
        <v>7</v>
      </c>
      <c r="M432" s="3">
        <f t="shared" si="18"/>
        <v>113</v>
      </c>
      <c r="N432" s="4">
        <f t="shared" si="19"/>
        <v>1.7036031961405095E-2</v>
      </c>
      <c r="O432" s="4">
        <f t="shared" si="20"/>
        <v>0.17577845501523784</v>
      </c>
    </row>
    <row r="433" spans="1:15" x14ac:dyDescent="0.3">
      <c r="A433" s="2" t="s">
        <v>610</v>
      </c>
      <c r="B433" s="2" t="s">
        <v>611</v>
      </c>
      <c r="C433" s="2" t="s">
        <v>45</v>
      </c>
      <c r="D433" s="2" t="s">
        <v>50</v>
      </c>
      <c r="E433" s="2" t="s">
        <v>29</v>
      </c>
      <c r="F433" s="2" t="s">
        <v>25</v>
      </c>
      <c r="G433" s="3">
        <v>12011</v>
      </c>
      <c r="H433" s="3">
        <v>3919</v>
      </c>
      <c r="I433" s="3">
        <v>6113</v>
      </c>
      <c r="J433" s="3">
        <v>62</v>
      </c>
      <c r="K433" s="3">
        <v>12</v>
      </c>
      <c r="L433" s="3">
        <v>15</v>
      </c>
      <c r="M433" s="3">
        <f t="shared" si="18"/>
        <v>89</v>
      </c>
      <c r="N433" s="4">
        <f t="shared" si="19"/>
        <v>2.2709874968104109E-2</v>
      </c>
      <c r="O433" s="4">
        <f t="shared" si="20"/>
        <v>0.32628423944717344</v>
      </c>
    </row>
    <row r="434" spans="1:15" x14ac:dyDescent="0.3">
      <c r="A434" s="2" t="s">
        <v>612</v>
      </c>
      <c r="B434" s="2" t="s">
        <v>613</v>
      </c>
      <c r="C434" s="2" t="s">
        <v>22</v>
      </c>
      <c r="D434" s="2" t="s">
        <v>18</v>
      </c>
      <c r="E434" s="2" t="s">
        <v>40</v>
      </c>
      <c r="F434" s="2" t="s">
        <v>35</v>
      </c>
      <c r="G434" s="3">
        <v>23026</v>
      </c>
      <c r="H434" s="3">
        <v>3819</v>
      </c>
      <c r="I434" s="3">
        <v>5650</v>
      </c>
      <c r="J434" s="3">
        <v>116</v>
      </c>
      <c r="K434" s="3">
        <v>20</v>
      </c>
      <c r="L434" s="3">
        <v>24</v>
      </c>
      <c r="M434" s="3">
        <f t="shared" si="18"/>
        <v>160</v>
      </c>
      <c r="N434" s="4">
        <f t="shared" si="19"/>
        <v>4.1895784236711184E-2</v>
      </c>
      <c r="O434" s="4">
        <f t="shared" si="20"/>
        <v>0.16585598888213324</v>
      </c>
    </row>
    <row r="435" spans="1:15" x14ac:dyDescent="0.3">
      <c r="A435" s="2" t="s">
        <v>614</v>
      </c>
      <c r="B435" s="2" t="s">
        <v>613</v>
      </c>
      <c r="C435" s="2" t="s">
        <v>27</v>
      </c>
      <c r="D435" s="2" t="s">
        <v>23</v>
      </c>
      <c r="E435" s="2" t="s">
        <v>24</v>
      </c>
      <c r="F435" s="2" t="s">
        <v>20</v>
      </c>
      <c r="G435" s="3">
        <v>38480</v>
      </c>
      <c r="H435" s="3">
        <v>7975</v>
      </c>
      <c r="I435" s="3">
        <v>13071</v>
      </c>
      <c r="J435" s="3">
        <v>194</v>
      </c>
      <c r="K435" s="3">
        <v>16</v>
      </c>
      <c r="L435" s="3">
        <v>79</v>
      </c>
      <c r="M435" s="3">
        <f t="shared" si="18"/>
        <v>289</v>
      </c>
      <c r="N435" s="4">
        <f t="shared" si="19"/>
        <v>3.6238244514106586E-2</v>
      </c>
      <c r="O435" s="4">
        <f t="shared" si="20"/>
        <v>0.20725051975051975</v>
      </c>
    </row>
    <row r="436" spans="1:15" x14ac:dyDescent="0.3">
      <c r="A436" s="2" t="s">
        <v>615</v>
      </c>
      <c r="B436" s="2" t="s">
        <v>613</v>
      </c>
      <c r="C436" s="2" t="s">
        <v>73</v>
      </c>
      <c r="D436" s="2" t="s">
        <v>28</v>
      </c>
      <c r="E436" s="2" t="s">
        <v>19</v>
      </c>
      <c r="F436" s="2" t="s">
        <v>67</v>
      </c>
      <c r="G436" s="3">
        <v>52836</v>
      </c>
      <c r="H436" s="3">
        <v>43435</v>
      </c>
      <c r="I436" s="3">
        <v>60367</v>
      </c>
      <c r="J436" s="3">
        <v>1701</v>
      </c>
      <c r="K436" s="3">
        <v>300</v>
      </c>
      <c r="L436" s="3">
        <v>153</v>
      </c>
      <c r="M436" s="3">
        <f t="shared" si="18"/>
        <v>2154</v>
      </c>
      <c r="N436" s="4">
        <f t="shared" si="19"/>
        <v>4.9591343386669734E-2</v>
      </c>
      <c r="O436" s="4">
        <f t="shared" si="20"/>
        <v>0.82207207207207211</v>
      </c>
    </row>
    <row r="437" spans="1:15" x14ac:dyDescent="0.3">
      <c r="A437" s="2" t="s">
        <v>616</v>
      </c>
      <c r="B437" s="2" t="s">
        <v>617</v>
      </c>
      <c r="C437" s="2" t="s">
        <v>55</v>
      </c>
      <c r="D437" s="2" t="s">
        <v>33</v>
      </c>
      <c r="E437" s="2" t="s">
        <v>34</v>
      </c>
      <c r="F437" s="2" t="s">
        <v>20</v>
      </c>
      <c r="G437" s="3">
        <v>30156</v>
      </c>
      <c r="H437" s="3">
        <v>11636</v>
      </c>
      <c r="I437" s="3">
        <v>17784</v>
      </c>
      <c r="J437" s="3">
        <v>249</v>
      </c>
      <c r="K437" s="3">
        <v>26</v>
      </c>
      <c r="L437" s="3">
        <v>90</v>
      </c>
      <c r="M437" s="3">
        <f t="shared" si="18"/>
        <v>365</v>
      </c>
      <c r="N437" s="4">
        <f t="shared" si="19"/>
        <v>3.136816775524235E-2</v>
      </c>
      <c r="O437" s="4">
        <f t="shared" si="20"/>
        <v>0.38586019365963653</v>
      </c>
    </row>
    <row r="438" spans="1:15" x14ac:dyDescent="0.3">
      <c r="A438" s="2" t="s">
        <v>618</v>
      </c>
      <c r="B438" s="2" t="s">
        <v>617</v>
      </c>
      <c r="C438" s="2" t="s">
        <v>17</v>
      </c>
      <c r="D438" s="2" t="s">
        <v>18</v>
      </c>
      <c r="E438" s="2" t="s">
        <v>40</v>
      </c>
      <c r="F438" s="2" t="s">
        <v>20</v>
      </c>
      <c r="G438" s="3">
        <v>22690</v>
      </c>
      <c r="H438" s="3">
        <v>5013</v>
      </c>
      <c r="I438" s="3">
        <v>8012</v>
      </c>
      <c r="J438" s="3">
        <v>225</v>
      </c>
      <c r="K438" s="3">
        <v>19</v>
      </c>
      <c r="L438" s="3">
        <v>67</v>
      </c>
      <c r="M438" s="3">
        <f t="shared" si="18"/>
        <v>311</v>
      </c>
      <c r="N438" s="4">
        <f t="shared" si="19"/>
        <v>6.2038699381607817E-2</v>
      </c>
      <c r="O438" s="4">
        <f t="shared" si="20"/>
        <v>0.22093433230498016</v>
      </c>
    </row>
    <row r="439" spans="1:15" x14ac:dyDescent="0.3">
      <c r="A439" s="2" t="s">
        <v>619</v>
      </c>
      <c r="B439" s="2" t="s">
        <v>617</v>
      </c>
      <c r="C439" s="2" t="s">
        <v>17</v>
      </c>
      <c r="D439" s="2" t="s">
        <v>18</v>
      </c>
      <c r="E439" s="2" t="s">
        <v>19</v>
      </c>
      <c r="F439" s="2" t="s">
        <v>67</v>
      </c>
      <c r="G439" s="3">
        <v>22605</v>
      </c>
      <c r="H439" s="3">
        <v>6640</v>
      </c>
      <c r="I439" s="3">
        <v>11605</v>
      </c>
      <c r="J439" s="3">
        <v>409</v>
      </c>
      <c r="K439" s="3">
        <v>38</v>
      </c>
      <c r="L439" s="3">
        <v>98</v>
      </c>
      <c r="M439" s="3">
        <f t="shared" si="18"/>
        <v>545</v>
      </c>
      <c r="N439" s="4">
        <f t="shared" si="19"/>
        <v>8.2078313253012042E-2</v>
      </c>
      <c r="O439" s="4">
        <f t="shared" si="20"/>
        <v>0.29374032293740321</v>
      </c>
    </row>
    <row r="440" spans="1:15" x14ac:dyDescent="0.3">
      <c r="A440" s="2" t="s">
        <v>620</v>
      </c>
      <c r="B440" s="2" t="s">
        <v>617</v>
      </c>
      <c r="C440" s="2" t="s">
        <v>73</v>
      </c>
      <c r="D440" s="2" t="s">
        <v>23</v>
      </c>
      <c r="E440" s="2" t="s">
        <v>40</v>
      </c>
      <c r="F440" s="2" t="s">
        <v>47</v>
      </c>
      <c r="G440" s="3">
        <v>38934</v>
      </c>
      <c r="H440" s="3">
        <v>7839</v>
      </c>
      <c r="I440" s="3">
        <v>13493</v>
      </c>
      <c r="J440" s="3">
        <v>383</v>
      </c>
      <c r="K440" s="3">
        <v>68</v>
      </c>
      <c r="L440" s="3">
        <v>66</v>
      </c>
      <c r="M440" s="3">
        <f t="shared" si="18"/>
        <v>517</v>
      </c>
      <c r="N440" s="4">
        <f t="shared" si="19"/>
        <v>6.5952289832886854E-2</v>
      </c>
      <c r="O440" s="4">
        <f t="shared" si="20"/>
        <v>0.20134073046694406</v>
      </c>
    </row>
    <row r="441" spans="1:15" x14ac:dyDescent="0.3">
      <c r="A441" s="2" t="s">
        <v>621</v>
      </c>
      <c r="B441" s="2" t="s">
        <v>617</v>
      </c>
      <c r="C441" s="2" t="s">
        <v>73</v>
      </c>
      <c r="D441" s="2" t="s">
        <v>50</v>
      </c>
      <c r="E441" s="2" t="s">
        <v>46</v>
      </c>
      <c r="F441" s="2" t="s">
        <v>67</v>
      </c>
      <c r="G441" s="3">
        <v>12226</v>
      </c>
      <c r="H441" s="3">
        <v>2737</v>
      </c>
      <c r="I441" s="3">
        <v>4595</v>
      </c>
      <c r="J441" s="3">
        <v>24</v>
      </c>
      <c r="K441" s="3">
        <v>3</v>
      </c>
      <c r="L441" s="3">
        <v>7</v>
      </c>
      <c r="M441" s="3">
        <f t="shared" si="18"/>
        <v>34</v>
      </c>
      <c r="N441" s="4">
        <f t="shared" si="19"/>
        <v>1.2422360248447204E-2</v>
      </c>
      <c r="O441" s="4">
        <f t="shared" si="20"/>
        <v>0.22386716832978898</v>
      </c>
    </row>
    <row r="442" spans="1:15" x14ac:dyDescent="0.3">
      <c r="A442" s="2" t="s">
        <v>622</v>
      </c>
      <c r="B442" s="2" t="s">
        <v>617</v>
      </c>
      <c r="C442" s="2" t="s">
        <v>39</v>
      </c>
      <c r="D442" s="2" t="s">
        <v>28</v>
      </c>
      <c r="E442" s="2" t="s">
        <v>46</v>
      </c>
      <c r="F442" s="2" t="s">
        <v>67</v>
      </c>
      <c r="G442" s="3">
        <v>51707</v>
      </c>
      <c r="H442" s="3">
        <v>27699</v>
      </c>
      <c r="I442" s="3">
        <v>47616</v>
      </c>
      <c r="J442" s="3">
        <v>618</v>
      </c>
      <c r="K442" s="3">
        <v>72</v>
      </c>
      <c r="L442" s="3">
        <v>226</v>
      </c>
      <c r="M442" s="3">
        <f t="shared" si="18"/>
        <v>916</v>
      </c>
      <c r="N442" s="4">
        <f t="shared" si="19"/>
        <v>3.3069785912848843E-2</v>
      </c>
      <c r="O442" s="4">
        <f t="shared" si="20"/>
        <v>0.5356914924478311</v>
      </c>
    </row>
    <row r="443" spans="1:15" x14ac:dyDescent="0.3">
      <c r="A443" s="2" t="s">
        <v>623</v>
      </c>
      <c r="B443" s="2" t="s">
        <v>624</v>
      </c>
      <c r="C443" s="2" t="s">
        <v>39</v>
      </c>
      <c r="D443" s="2" t="s">
        <v>23</v>
      </c>
      <c r="E443" s="2" t="s">
        <v>34</v>
      </c>
      <c r="F443" s="2" t="s">
        <v>30</v>
      </c>
      <c r="G443" s="3">
        <v>38204</v>
      </c>
      <c r="H443" s="3">
        <v>6187</v>
      </c>
      <c r="I443" s="3">
        <v>10678</v>
      </c>
      <c r="J443" s="3">
        <v>172</v>
      </c>
      <c r="K443" s="3">
        <v>20</v>
      </c>
      <c r="L443" s="3">
        <v>52</v>
      </c>
      <c r="M443" s="3">
        <f t="shared" si="18"/>
        <v>244</v>
      </c>
      <c r="N443" s="4">
        <f t="shared" si="19"/>
        <v>3.9437530305479231E-2</v>
      </c>
      <c r="O443" s="4">
        <f t="shared" si="20"/>
        <v>0.16194639304784839</v>
      </c>
    </row>
    <row r="444" spans="1:15" x14ac:dyDescent="0.3">
      <c r="A444" s="2" t="s">
        <v>625</v>
      </c>
      <c r="B444" s="2" t="s">
        <v>624</v>
      </c>
      <c r="C444" s="2" t="s">
        <v>73</v>
      </c>
      <c r="D444" s="2" t="s">
        <v>50</v>
      </c>
      <c r="E444" s="2" t="s">
        <v>46</v>
      </c>
      <c r="F444" s="2" t="s">
        <v>25</v>
      </c>
      <c r="G444" s="3">
        <v>12421</v>
      </c>
      <c r="H444" s="3">
        <v>1748</v>
      </c>
      <c r="I444" s="3">
        <v>2319</v>
      </c>
      <c r="J444" s="3">
        <v>34</v>
      </c>
      <c r="K444" s="3">
        <v>3</v>
      </c>
      <c r="L444" s="3">
        <v>9</v>
      </c>
      <c r="M444" s="3">
        <f t="shared" si="18"/>
        <v>46</v>
      </c>
      <c r="N444" s="4">
        <f t="shared" si="19"/>
        <v>2.6315789473684209E-2</v>
      </c>
      <c r="O444" s="4">
        <f t="shared" si="20"/>
        <v>0.14072940987038079</v>
      </c>
    </row>
    <row r="445" spans="1:15" x14ac:dyDescent="0.3">
      <c r="A445" s="2" t="s">
        <v>626</v>
      </c>
      <c r="B445" s="2" t="s">
        <v>624</v>
      </c>
      <c r="C445" s="2" t="s">
        <v>27</v>
      </c>
      <c r="D445" s="2" t="s">
        <v>28</v>
      </c>
      <c r="E445" s="2" t="s">
        <v>40</v>
      </c>
      <c r="F445" s="2" t="s">
        <v>79</v>
      </c>
      <c r="G445" s="3">
        <v>51563</v>
      </c>
      <c r="H445" s="3">
        <v>36595</v>
      </c>
      <c r="I445" s="3">
        <v>58874</v>
      </c>
      <c r="J445" s="3">
        <v>2557</v>
      </c>
      <c r="K445" s="3">
        <v>227</v>
      </c>
      <c r="L445" s="3">
        <v>663</v>
      </c>
      <c r="M445" s="3">
        <f t="shared" si="18"/>
        <v>3447</v>
      </c>
      <c r="N445" s="4">
        <f t="shared" si="19"/>
        <v>9.4193195791774834E-2</v>
      </c>
      <c r="O445" s="4">
        <f t="shared" si="20"/>
        <v>0.70971433004286022</v>
      </c>
    </row>
    <row r="446" spans="1:15" x14ac:dyDescent="0.3">
      <c r="A446" s="2" t="s">
        <v>627</v>
      </c>
      <c r="B446" s="2" t="s">
        <v>624</v>
      </c>
      <c r="C446" s="2" t="s">
        <v>22</v>
      </c>
      <c r="D446" s="2" t="s">
        <v>28</v>
      </c>
      <c r="E446" s="2" t="s">
        <v>40</v>
      </c>
      <c r="F446" s="2" t="s">
        <v>67</v>
      </c>
      <c r="G446" s="3">
        <v>52995</v>
      </c>
      <c r="H446" s="3">
        <v>44672</v>
      </c>
      <c r="I446" s="3">
        <v>66822</v>
      </c>
      <c r="J446" s="3">
        <v>2147</v>
      </c>
      <c r="K446" s="3">
        <v>437</v>
      </c>
      <c r="L446" s="3">
        <v>609</v>
      </c>
      <c r="M446" s="3">
        <f t="shared" si="18"/>
        <v>3193</v>
      </c>
      <c r="N446" s="4">
        <f t="shared" si="19"/>
        <v>7.1476540114613185E-2</v>
      </c>
      <c r="O446" s="4">
        <f t="shared" si="20"/>
        <v>0.8429474478724408</v>
      </c>
    </row>
    <row r="447" spans="1:15" x14ac:dyDescent="0.3">
      <c r="A447" s="2" t="s">
        <v>628</v>
      </c>
      <c r="B447" s="2" t="s">
        <v>629</v>
      </c>
      <c r="C447" s="2" t="s">
        <v>39</v>
      </c>
      <c r="D447" s="2" t="s">
        <v>18</v>
      </c>
      <c r="E447" s="2" t="s">
        <v>46</v>
      </c>
      <c r="F447" s="2" t="s">
        <v>47</v>
      </c>
      <c r="G447" s="3">
        <v>22561</v>
      </c>
      <c r="H447" s="3">
        <v>3071</v>
      </c>
      <c r="I447" s="3">
        <v>5309</v>
      </c>
      <c r="J447" s="3">
        <v>69</v>
      </c>
      <c r="K447" s="3">
        <v>13</v>
      </c>
      <c r="L447" s="3">
        <v>25</v>
      </c>
      <c r="M447" s="3">
        <f t="shared" si="18"/>
        <v>107</v>
      </c>
      <c r="N447" s="4">
        <f t="shared" si="19"/>
        <v>3.48420709866493E-2</v>
      </c>
      <c r="O447" s="4">
        <f t="shared" si="20"/>
        <v>0.13611985284340233</v>
      </c>
    </row>
    <row r="448" spans="1:15" x14ac:dyDescent="0.3">
      <c r="A448" s="2" t="s">
        <v>630</v>
      </c>
      <c r="B448" s="2" t="s">
        <v>629</v>
      </c>
      <c r="C448" s="2" t="s">
        <v>45</v>
      </c>
      <c r="D448" s="2" t="s">
        <v>23</v>
      </c>
      <c r="E448" s="2" t="s">
        <v>24</v>
      </c>
      <c r="F448" s="2" t="s">
        <v>67</v>
      </c>
      <c r="G448" s="3">
        <v>38923</v>
      </c>
      <c r="H448" s="3">
        <v>5802</v>
      </c>
      <c r="I448" s="3">
        <v>7263</v>
      </c>
      <c r="J448" s="3">
        <v>129</v>
      </c>
      <c r="K448" s="3">
        <v>17</v>
      </c>
      <c r="L448" s="3">
        <v>35</v>
      </c>
      <c r="M448" s="3">
        <f t="shared" si="18"/>
        <v>181</v>
      </c>
      <c r="N448" s="4">
        <f t="shared" si="19"/>
        <v>3.1196139262323338E-2</v>
      </c>
      <c r="O448" s="4">
        <f t="shared" si="20"/>
        <v>0.14906353569868716</v>
      </c>
    </row>
    <row r="449" spans="1:15" x14ac:dyDescent="0.3">
      <c r="A449" s="2" t="s">
        <v>631</v>
      </c>
      <c r="B449" s="2" t="s">
        <v>629</v>
      </c>
      <c r="C449" s="2" t="s">
        <v>45</v>
      </c>
      <c r="D449" s="2" t="s">
        <v>28</v>
      </c>
      <c r="E449" s="2" t="s">
        <v>24</v>
      </c>
      <c r="F449" s="2" t="s">
        <v>25</v>
      </c>
      <c r="G449" s="3">
        <v>51560</v>
      </c>
      <c r="H449" s="3">
        <v>17858</v>
      </c>
      <c r="I449" s="3">
        <v>27810</v>
      </c>
      <c r="J449" s="3">
        <v>161</v>
      </c>
      <c r="K449" s="3">
        <v>24</v>
      </c>
      <c r="L449" s="3">
        <v>23</v>
      </c>
      <c r="M449" s="3">
        <f t="shared" si="18"/>
        <v>208</v>
      </c>
      <c r="N449" s="4">
        <f t="shared" si="19"/>
        <v>1.1647440922835704E-2</v>
      </c>
      <c r="O449" s="4">
        <f t="shared" si="20"/>
        <v>0.34635376260667183</v>
      </c>
    </row>
    <row r="450" spans="1:15" x14ac:dyDescent="0.3">
      <c r="A450" s="2" t="s">
        <v>632</v>
      </c>
      <c r="B450" s="2" t="s">
        <v>633</v>
      </c>
      <c r="C450" s="2" t="s">
        <v>27</v>
      </c>
      <c r="D450" s="2" t="s">
        <v>33</v>
      </c>
      <c r="E450" s="2" t="s">
        <v>34</v>
      </c>
      <c r="F450" s="2" t="s">
        <v>30</v>
      </c>
      <c r="G450" s="3">
        <v>30572</v>
      </c>
      <c r="H450" s="3">
        <v>6974</v>
      </c>
      <c r="I450" s="3">
        <v>10952</v>
      </c>
      <c r="J450" s="3">
        <v>223</v>
      </c>
      <c r="K450" s="3">
        <v>32</v>
      </c>
      <c r="L450" s="3">
        <v>41</v>
      </c>
      <c r="M450" s="3">
        <f t="shared" ref="M450:M513" si="21">SUM(J450:L450)</f>
        <v>296</v>
      </c>
      <c r="N450" s="4">
        <f t="shared" ref="N450:N513" si="22">IFERROR(M450/H450,0)</f>
        <v>4.244336105534844E-2</v>
      </c>
      <c r="O450" s="4">
        <f t="shared" ref="O450:O513" si="23">IFERROR(H450/G450,0)</f>
        <v>0.2281172314536177</v>
      </c>
    </row>
    <row r="451" spans="1:15" x14ac:dyDescent="0.3">
      <c r="A451" s="2" t="s">
        <v>634</v>
      </c>
      <c r="B451" s="2" t="s">
        <v>633</v>
      </c>
      <c r="C451" s="2" t="s">
        <v>43</v>
      </c>
      <c r="D451" s="2" t="s">
        <v>18</v>
      </c>
      <c r="E451" s="2" t="s">
        <v>24</v>
      </c>
      <c r="F451" s="2" t="s">
        <v>79</v>
      </c>
      <c r="G451" s="3">
        <v>23179</v>
      </c>
      <c r="H451" s="3">
        <v>2749</v>
      </c>
      <c r="I451" s="3">
        <v>3599</v>
      </c>
      <c r="J451" s="3">
        <v>42</v>
      </c>
      <c r="K451" s="3">
        <v>3</v>
      </c>
      <c r="L451" s="3">
        <v>15</v>
      </c>
      <c r="M451" s="3">
        <f t="shared" si="21"/>
        <v>60</v>
      </c>
      <c r="N451" s="4">
        <f t="shared" si="22"/>
        <v>2.1826118588577664E-2</v>
      </c>
      <c r="O451" s="4">
        <f t="shared" si="23"/>
        <v>0.11859873161050952</v>
      </c>
    </row>
    <row r="452" spans="1:15" x14ac:dyDescent="0.3">
      <c r="A452" s="2" t="s">
        <v>635</v>
      </c>
      <c r="B452" s="2" t="s">
        <v>633</v>
      </c>
      <c r="C452" s="2" t="s">
        <v>55</v>
      </c>
      <c r="D452" s="2" t="s">
        <v>50</v>
      </c>
      <c r="E452" s="2" t="s">
        <v>34</v>
      </c>
      <c r="F452" s="2" t="s">
        <v>35</v>
      </c>
      <c r="G452" s="3">
        <v>12185</v>
      </c>
      <c r="H452" s="3">
        <v>2621</v>
      </c>
      <c r="I452" s="3">
        <v>3268</v>
      </c>
      <c r="J452" s="3">
        <v>41</v>
      </c>
      <c r="K452" s="3">
        <v>6</v>
      </c>
      <c r="L452" s="3">
        <v>16</v>
      </c>
      <c r="M452" s="3">
        <f t="shared" si="21"/>
        <v>63</v>
      </c>
      <c r="N452" s="4">
        <f t="shared" si="22"/>
        <v>2.4036627241510875E-2</v>
      </c>
      <c r="O452" s="4">
        <f t="shared" si="23"/>
        <v>0.21510053344275748</v>
      </c>
    </row>
    <row r="453" spans="1:15" x14ac:dyDescent="0.3">
      <c r="A453" s="2" t="s">
        <v>636</v>
      </c>
      <c r="B453" s="2" t="s">
        <v>633</v>
      </c>
      <c r="C453" s="2" t="s">
        <v>45</v>
      </c>
      <c r="D453" s="2" t="s">
        <v>28</v>
      </c>
      <c r="E453" s="2" t="s">
        <v>46</v>
      </c>
      <c r="F453" s="2" t="s">
        <v>35</v>
      </c>
      <c r="G453" s="3">
        <v>52430</v>
      </c>
      <c r="H453" s="3">
        <v>42000</v>
      </c>
      <c r="I453" s="3">
        <v>53834</v>
      </c>
      <c r="J453" s="3">
        <v>765</v>
      </c>
      <c r="K453" s="3">
        <v>146</v>
      </c>
      <c r="L453" s="3">
        <v>119</v>
      </c>
      <c r="M453" s="3">
        <f t="shared" si="21"/>
        <v>1030</v>
      </c>
      <c r="N453" s="4">
        <f t="shared" si="22"/>
        <v>2.4523809523809524E-2</v>
      </c>
      <c r="O453" s="4">
        <f t="shared" si="23"/>
        <v>0.8010680907877169</v>
      </c>
    </row>
    <row r="454" spans="1:15" x14ac:dyDescent="0.3">
      <c r="A454" s="2" t="s">
        <v>637</v>
      </c>
      <c r="B454" s="2" t="s">
        <v>633</v>
      </c>
      <c r="C454" s="2" t="s">
        <v>17</v>
      </c>
      <c r="D454" s="2" t="s">
        <v>28</v>
      </c>
      <c r="E454" s="2" t="s">
        <v>24</v>
      </c>
      <c r="F454" s="2" t="s">
        <v>47</v>
      </c>
      <c r="G454" s="3">
        <v>52625</v>
      </c>
      <c r="H454" s="3">
        <v>34769</v>
      </c>
      <c r="I454" s="3">
        <v>50232</v>
      </c>
      <c r="J454" s="3">
        <v>416</v>
      </c>
      <c r="K454" s="3">
        <v>67</v>
      </c>
      <c r="L454" s="3">
        <v>79</v>
      </c>
      <c r="M454" s="3">
        <f t="shared" si="21"/>
        <v>562</v>
      </c>
      <c r="N454" s="4">
        <f t="shared" si="22"/>
        <v>1.6163824096177629E-2</v>
      </c>
      <c r="O454" s="4">
        <f t="shared" si="23"/>
        <v>0.66069358669833733</v>
      </c>
    </row>
    <row r="455" spans="1:15" x14ac:dyDescent="0.3">
      <c r="A455" s="2" t="s">
        <v>638</v>
      </c>
      <c r="B455" s="2" t="s">
        <v>639</v>
      </c>
      <c r="C455" s="2" t="s">
        <v>55</v>
      </c>
      <c r="D455" s="2" t="s">
        <v>33</v>
      </c>
      <c r="E455" s="2" t="s">
        <v>46</v>
      </c>
      <c r="F455" s="2" t="s">
        <v>30</v>
      </c>
      <c r="G455" s="3">
        <v>31009</v>
      </c>
      <c r="H455" s="3">
        <v>7317</v>
      </c>
      <c r="I455" s="3">
        <v>11200</v>
      </c>
      <c r="J455" s="3">
        <v>96</v>
      </c>
      <c r="K455" s="3">
        <v>12</v>
      </c>
      <c r="L455" s="3">
        <v>39</v>
      </c>
      <c r="M455" s="3">
        <f t="shared" si="21"/>
        <v>147</v>
      </c>
      <c r="N455" s="4">
        <f t="shared" si="22"/>
        <v>2.0090200902009019E-2</v>
      </c>
      <c r="O455" s="4">
        <f t="shared" si="23"/>
        <v>0.23596375245896353</v>
      </c>
    </row>
    <row r="456" spans="1:15" x14ac:dyDescent="0.3">
      <c r="A456" s="2" t="s">
        <v>640</v>
      </c>
      <c r="B456" s="2" t="s">
        <v>639</v>
      </c>
      <c r="C456" s="2" t="s">
        <v>39</v>
      </c>
      <c r="D456" s="2" t="s">
        <v>33</v>
      </c>
      <c r="E456" s="2" t="s">
        <v>19</v>
      </c>
      <c r="F456" s="2" t="s">
        <v>67</v>
      </c>
      <c r="G456" s="3">
        <v>30890</v>
      </c>
      <c r="H456" s="3">
        <v>11315</v>
      </c>
      <c r="I456" s="3">
        <v>14461</v>
      </c>
      <c r="J456" s="3">
        <v>184</v>
      </c>
      <c r="K456" s="3">
        <v>27</v>
      </c>
      <c r="L456" s="3">
        <v>54</v>
      </c>
      <c r="M456" s="3">
        <f t="shared" si="21"/>
        <v>265</v>
      </c>
      <c r="N456" s="4">
        <f t="shared" si="22"/>
        <v>2.3420238621299161E-2</v>
      </c>
      <c r="O456" s="4">
        <f t="shared" si="23"/>
        <v>0.36629977338944641</v>
      </c>
    </row>
    <row r="457" spans="1:15" x14ac:dyDescent="0.3">
      <c r="A457" s="2" t="s">
        <v>641</v>
      </c>
      <c r="B457" s="2" t="s">
        <v>639</v>
      </c>
      <c r="C457" s="2" t="s">
        <v>39</v>
      </c>
      <c r="D457" s="2" t="s">
        <v>18</v>
      </c>
      <c r="E457" s="2" t="s">
        <v>40</v>
      </c>
      <c r="F457" s="2" t="s">
        <v>67</v>
      </c>
      <c r="G457" s="3">
        <v>23122</v>
      </c>
      <c r="H457" s="3">
        <v>3209</v>
      </c>
      <c r="I457" s="3">
        <v>5402</v>
      </c>
      <c r="J457" s="3">
        <v>209</v>
      </c>
      <c r="K457" s="3">
        <v>28</v>
      </c>
      <c r="L457" s="3">
        <v>53</v>
      </c>
      <c r="M457" s="3">
        <f t="shared" si="21"/>
        <v>290</v>
      </c>
      <c r="N457" s="4">
        <f t="shared" si="22"/>
        <v>9.0370832034901843E-2</v>
      </c>
      <c r="O457" s="4">
        <f t="shared" si="23"/>
        <v>0.13878557218233717</v>
      </c>
    </row>
    <row r="458" spans="1:15" x14ac:dyDescent="0.3">
      <c r="A458" s="2" t="s">
        <v>642</v>
      </c>
      <c r="B458" s="2" t="s">
        <v>639</v>
      </c>
      <c r="C458" s="2" t="s">
        <v>55</v>
      </c>
      <c r="D458" s="2" t="s">
        <v>50</v>
      </c>
      <c r="E458" s="2" t="s">
        <v>24</v>
      </c>
      <c r="F458" s="2" t="s">
        <v>79</v>
      </c>
      <c r="G458" s="3">
        <v>12268</v>
      </c>
      <c r="H458" s="3">
        <v>3769</v>
      </c>
      <c r="I458" s="3">
        <v>6593</v>
      </c>
      <c r="J458" s="3">
        <v>33</v>
      </c>
      <c r="K458" s="3">
        <v>4</v>
      </c>
      <c r="L458" s="3">
        <v>9</v>
      </c>
      <c r="M458" s="3">
        <f t="shared" si="21"/>
        <v>46</v>
      </c>
      <c r="N458" s="4">
        <f t="shared" si="22"/>
        <v>1.2204828867073494E-2</v>
      </c>
      <c r="O458" s="4">
        <f t="shared" si="23"/>
        <v>0.30722204108249102</v>
      </c>
    </row>
    <row r="459" spans="1:15" x14ac:dyDescent="0.3">
      <c r="A459" s="2" t="s">
        <v>643</v>
      </c>
      <c r="B459" s="2" t="s">
        <v>639</v>
      </c>
      <c r="C459" s="2" t="s">
        <v>43</v>
      </c>
      <c r="D459" s="2" t="s">
        <v>28</v>
      </c>
      <c r="E459" s="2" t="s">
        <v>19</v>
      </c>
      <c r="F459" s="2" t="s">
        <v>79</v>
      </c>
      <c r="G459" s="3">
        <v>53290</v>
      </c>
      <c r="H459" s="3">
        <v>44082</v>
      </c>
      <c r="I459" s="3">
        <v>59401</v>
      </c>
      <c r="J459" s="3">
        <v>2325</v>
      </c>
      <c r="K459" s="3">
        <v>178</v>
      </c>
      <c r="L459" s="3">
        <v>857</v>
      </c>
      <c r="M459" s="3">
        <f t="shared" si="21"/>
        <v>3360</v>
      </c>
      <c r="N459" s="4">
        <f t="shared" si="22"/>
        <v>7.6221587042330202E-2</v>
      </c>
      <c r="O459" s="4">
        <f t="shared" si="23"/>
        <v>0.82720960780634267</v>
      </c>
    </row>
    <row r="460" spans="1:15" x14ac:dyDescent="0.3">
      <c r="A460" s="2" t="s">
        <v>644</v>
      </c>
      <c r="B460" s="2" t="s">
        <v>645</v>
      </c>
      <c r="C460" s="2" t="s">
        <v>52</v>
      </c>
      <c r="D460" s="2" t="s">
        <v>50</v>
      </c>
      <c r="E460" s="2" t="s">
        <v>29</v>
      </c>
      <c r="F460" s="2" t="s">
        <v>79</v>
      </c>
      <c r="G460" s="3">
        <v>12408</v>
      </c>
      <c r="H460" s="3">
        <v>2263</v>
      </c>
      <c r="I460" s="3">
        <v>2626</v>
      </c>
      <c r="J460" s="3">
        <v>103</v>
      </c>
      <c r="K460" s="3">
        <v>19</v>
      </c>
      <c r="L460" s="3">
        <v>25</v>
      </c>
      <c r="M460" s="3">
        <f t="shared" si="21"/>
        <v>147</v>
      </c>
      <c r="N460" s="4">
        <f t="shared" si="22"/>
        <v>6.4958020326999558E-2</v>
      </c>
      <c r="O460" s="4">
        <f t="shared" si="23"/>
        <v>0.18238233397807865</v>
      </c>
    </row>
    <row r="461" spans="1:15" x14ac:dyDescent="0.3">
      <c r="A461" s="2" t="s">
        <v>646</v>
      </c>
      <c r="B461" s="2" t="s">
        <v>645</v>
      </c>
      <c r="C461" s="2" t="s">
        <v>27</v>
      </c>
      <c r="D461" s="2" t="s">
        <v>28</v>
      </c>
      <c r="E461" s="2" t="s">
        <v>34</v>
      </c>
      <c r="F461" s="2" t="s">
        <v>79</v>
      </c>
      <c r="G461" s="3">
        <v>53336</v>
      </c>
      <c r="H461" s="3">
        <v>40298</v>
      </c>
      <c r="I461" s="3">
        <v>70092</v>
      </c>
      <c r="J461" s="3">
        <v>921</v>
      </c>
      <c r="K461" s="3">
        <v>138</v>
      </c>
      <c r="L461" s="3">
        <v>350</v>
      </c>
      <c r="M461" s="3">
        <f t="shared" si="21"/>
        <v>1409</v>
      </c>
      <c r="N461" s="4">
        <f t="shared" si="22"/>
        <v>3.4964514367958707E-2</v>
      </c>
      <c r="O461" s="4">
        <f t="shared" si="23"/>
        <v>0.75554972251387431</v>
      </c>
    </row>
    <row r="462" spans="1:15" x14ac:dyDescent="0.3">
      <c r="A462" s="2" t="s">
        <v>647</v>
      </c>
      <c r="B462" s="2" t="s">
        <v>648</v>
      </c>
      <c r="C462" s="2" t="s">
        <v>73</v>
      </c>
      <c r="D462" s="2" t="s">
        <v>33</v>
      </c>
      <c r="E462" s="2" t="s">
        <v>40</v>
      </c>
      <c r="F462" s="2" t="s">
        <v>35</v>
      </c>
      <c r="G462" s="3">
        <v>31145</v>
      </c>
      <c r="H462" s="3">
        <v>6811</v>
      </c>
      <c r="I462" s="3">
        <v>11648</v>
      </c>
      <c r="J462" s="3">
        <v>526</v>
      </c>
      <c r="K462" s="3">
        <v>44</v>
      </c>
      <c r="L462" s="3">
        <v>131</v>
      </c>
      <c r="M462" s="3">
        <f t="shared" si="21"/>
        <v>701</v>
      </c>
      <c r="N462" s="4">
        <f t="shared" si="22"/>
        <v>0.10292174423726325</v>
      </c>
      <c r="O462" s="4">
        <f t="shared" si="23"/>
        <v>0.21868678760635737</v>
      </c>
    </row>
    <row r="463" spans="1:15" x14ac:dyDescent="0.3">
      <c r="A463" s="2" t="s">
        <v>649</v>
      </c>
      <c r="B463" s="2" t="s">
        <v>648</v>
      </c>
      <c r="C463" s="2" t="s">
        <v>27</v>
      </c>
      <c r="D463" s="2" t="s">
        <v>18</v>
      </c>
      <c r="E463" s="2" t="s">
        <v>24</v>
      </c>
      <c r="F463" s="2" t="s">
        <v>30</v>
      </c>
      <c r="G463" s="3">
        <v>22430</v>
      </c>
      <c r="H463" s="3">
        <v>6425</v>
      </c>
      <c r="I463" s="3">
        <v>10157</v>
      </c>
      <c r="J463" s="3">
        <v>144</v>
      </c>
      <c r="K463" s="3">
        <v>10</v>
      </c>
      <c r="L463" s="3">
        <v>46</v>
      </c>
      <c r="M463" s="3">
        <f t="shared" si="21"/>
        <v>200</v>
      </c>
      <c r="N463" s="4">
        <f t="shared" si="22"/>
        <v>3.1128404669260701E-2</v>
      </c>
      <c r="O463" s="4">
        <f t="shared" si="23"/>
        <v>0.2864467231386536</v>
      </c>
    </row>
    <row r="464" spans="1:15" x14ac:dyDescent="0.3">
      <c r="A464" s="2" t="s">
        <v>650</v>
      </c>
      <c r="B464" s="2" t="s">
        <v>648</v>
      </c>
      <c r="C464" s="2" t="s">
        <v>52</v>
      </c>
      <c r="D464" s="2" t="s">
        <v>28</v>
      </c>
      <c r="E464" s="2" t="s">
        <v>46</v>
      </c>
      <c r="F464" s="2" t="s">
        <v>25</v>
      </c>
      <c r="G464" s="3">
        <v>52432</v>
      </c>
      <c r="H464" s="3">
        <v>19670</v>
      </c>
      <c r="I464" s="3">
        <v>25446</v>
      </c>
      <c r="J464" s="3">
        <v>263</v>
      </c>
      <c r="K464" s="3">
        <v>25</v>
      </c>
      <c r="L464" s="3">
        <v>106</v>
      </c>
      <c r="M464" s="3">
        <f t="shared" si="21"/>
        <v>394</v>
      </c>
      <c r="N464" s="4">
        <f t="shared" si="22"/>
        <v>2.0030503304524657E-2</v>
      </c>
      <c r="O464" s="4">
        <f t="shared" si="23"/>
        <v>0.37515257857796763</v>
      </c>
    </row>
    <row r="465" spans="1:15" x14ac:dyDescent="0.3">
      <c r="A465" s="2" t="s">
        <v>651</v>
      </c>
      <c r="B465" s="2" t="s">
        <v>652</v>
      </c>
      <c r="C465" s="2" t="s">
        <v>49</v>
      </c>
      <c r="D465" s="2" t="s">
        <v>33</v>
      </c>
      <c r="E465" s="2" t="s">
        <v>24</v>
      </c>
      <c r="F465" s="2" t="s">
        <v>30</v>
      </c>
      <c r="G465" s="3">
        <v>30488</v>
      </c>
      <c r="H465" s="3">
        <v>8371</v>
      </c>
      <c r="I465" s="3">
        <v>11074</v>
      </c>
      <c r="J465" s="3">
        <v>103</v>
      </c>
      <c r="K465" s="3">
        <v>11</v>
      </c>
      <c r="L465" s="3">
        <v>35</v>
      </c>
      <c r="M465" s="3">
        <f t="shared" si="21"/>
        <v>149</v>
      </c>
      <c r="N465" s="4">
        <f t="shared" si="22"/>
        <v>1.7799546051845659E-2</v>
      </c>
      <c r="O465" s="4">
        <f t="shared" si="23"/>
        <v>0.27456704277092625</v>
      </c>
    </row>
    <row r="466" spans="1:15" x14ac:dyDescent="0.3">
      <c r="A466" s="2" t="s">
        <v>653</v>
      </c>
      <c r="B466" s="2" t="s">
        <v>652</v>
      </c>
      <c r="C466" s="2" t="s">
        <v>73</v>
      </c>
      <c r="D466" s="2" t="s">
        <v>18</v>
      </c>
      <c r="E466" s="2" t="s">
        <v>24</v>
      </c>
      <c r="F466" s="2" t="s">
        <v>47</v>
      </c>
      <c r="G466" s="3">
        <v>22505</v>
      </c>
      <c r="H466" s="3">
        <v>2380</v>
      </c>
      <c r="I466" s="3">
        <v>4122</v>
      </c>
      <c r="J466" s="3">
        <v>21</v>
      </c>
      <c r="K466" s="3">
        <v>2</v>
      </c>
      <c r="L466" s="3">
        <v>9</v>
      </c>
      <c r="M466" s="3">
        <f t="shared" si="21"/>
        <v>32</v>
      </c>
      <c r="N466" s="4">
        <f t="shared" si="22"/>
        <v>1.3445378151260505E-2</v>
      </c>
      <c r="O466" s="4">
        <f t="shared" si="23"/>
        <v>0.10575427682737169</v>
      </c>
    </row>
    <row r="467" spans="1:15" x14ac:dyDescent="0.3">
      <c r="A467" s="2" t="s">
        <v>654</v>
      </c>
      <c r="B467" s="2" t="s">
        <v>655</v>
      </c>
      <c r="C467" s="2" t="s">
        <v>64</v>
      </c>
      <c r="D467" s="2" t="s">
        <v>23</v>
      </c>
      <c r="E467" s="2" t="s">
        <v>46</v>
      </c>
      <c r="F467" s="2" t="s">
        <v>30</v>
      </c>
      <c r="G467" s="3">
        <v>39831</v>
      </c>
      <c r="H467" s="3">
        <v>7400</v>
      </c>
      <c r="I467" s="3">
        <v>10552</v>
      </c>
      <c r="J467" s="3">
        <v>71</v>
      </c>
      <c r="K467" s="3">
        <v>13</v>
      </c>
      <c r="L467" s="3">
        <v>8</v>
      </c>
      <c r="M467" s="3">
        <f t="shared" si="21"/>
        <v>92</v>
      </c>
      <c r="N467" s="4">
        <f t="shared" si="22"/>
        <v>1.2432432432432432E-2</v>
      </c>
      <c r="O467" s="4">
        <f t="shared" si="23"/>
        <v>0.18578494137731918</v>
      </c>
    </row>
    <row r="468" spans="1:15" x14ac:dyDescent="0.3">
      <c r="A468" s="2" t="s">
        <v>656</v>
      </c>
      <c r="B468" s="2" t="s">
        <v>655</v>
      </c>
      <c r="C468" s="2" t="s">
        <v>22</v>
      </c>
      <c r="D468" s="2" t="s">
        <v>50</v>
      </c>
      <c r="E468" s="2" t="s">
        <v>46</v>
      </c>
      <c r="F468" s="2" t="s">
        <v>47</v>
      </c>
      <c r="G468" s="3">
        <v>12343</v>
      </c>
      <c r="H468" s="3">
        <v>4170</v>
      </c>
      <c r="I468" s="3">
        <v>5006</v>
      </c>
      <c r="J468" s="3">
        <v>95</v>
      </c>
      <c r="K468" s="3">
        <v>11</v>
      </c>
      <c r="L468" s="3">
        <v>32</v>
      </c>
      <c r="M468" s="3">
        <f t="shared" si="21"/>
        <v>138</v>
      </c>
      <c r="N468" s="4">
        <f t="shared" si="22"/>
        <v>3.3093525179856115E-2</v>
      </c>
      <c r="O468" s="4">
        <f t="shared" si="23"/>
        <v>0.33784331199870371</v>
      </c>
    </row>
    <row r="469" spans="1:15" x14ac:dyDescent="0.3">
      <c r="A469" s="2" t="s">
        <v>657</v>
      </c>
      <c r="B469" s="2" t="s">
        <v>658</v>
      </c>
      <c r="C469" s="2" t="s">
        <v>49</v>
      </c>
      <c r="D469" s="2" t="s">
        <v>50</v>
      </c>
      <c r="E469" s="2" t="s">
        <v>40</v>
      </c>
      <c r="F469" s="2" t="s">
        <v>30</v>
      </c>
      <c r="G469" s="3">
        <v>12301</v>
      </c>
      <c r="H469" s="3">
        <v>2781</v>
      </c>
      <c r="I469" s="3">
        <v>3391</v>
      </c>
      <c r="J469" s="3">
        <v>162</v>
      </c>
      <c r="K469" s="3">
        <v>13</v>
      </c>
      <c r="L469" s="3">
        <v>45</v>
      </c>
      <c r="M469" s="3">
        <f t="shared" si="21"/>
        <v>220</v>
      </c>
      <c r="N469" s="4">
        <f t="shared" si="22"/>
        <v>7.9108234448040271E-2</v>
      </c>
      <c r="O469" s="4">
        <f t="shared" si="23"/>
        <v>0.22607918055442647</v>
      </c>
    </row>
    <row r="470" spans="1:15" x14ac:dyDescent="0.3">
      <c r="A470" s="2" t="s">
        <v>659</v>
      </c>
      <c r="B470" s="2" t="s">
        <v>658</v>
      </c>
      <c r="C470" s="2" t="s">
        <v>45</v>
      </c>
      <c r="D470" s="2" t="s">
        <v>50</v>
      </c>
      <c r="E470" s="2" t="s">
        <v>40</v>
      </c>
      <c r="F470" s="2" t="s">
        <v>30</v>
      </c>
      <c r="G470" s="3">
        <v>12289</v>
      </c>
      <c r="H470" s="3">
        <v>3310</v>
      </c>
      <c r="I470" s="3">
        <v>5477</v>
      </c>
      <c r="J470" s="3">
        <v>146</v>
      </c>
      <c r="K470" s="3">
        <v>18</v>
      </c>
      <c r="L470" s="3">
        <v>42</v>
      </c>
      <c r="M470" s="3">
        <f t="shared" si="21"/>
        <v>206</v>
      </c>
      <c r="N470" s="4">
        <f t="shared" si="22"/>
        <v>6.2235649546827795E-2</v>
      </c>
      <c r="O470" s="4">
        <f t="shared" si="23"/>
        <v>0.26934657010334445</v>
      </c>
    </row>
    <row r="471" spans="1:15" x14ac:dyDescent="0.3">
      <c r="A471" s="2" t="s">
        <v>660</v>
      </c>
      <c r="B471" s="2" t="s">
        <v>658</v>
      </c>
      <c r="C471" s="2" t="s">
        <v>83</v>
      </c>
      <c r="D471" s="2" t="s">
        <v>28</v>
      </c>
      <c r="E471" s="2" t="s">
        <v>40</v>
      </c>
      <c r="F471" s="2" t="s">
        <v>41</v>
      </c>
      <c r="G471" s="3">
        <v>52116</v>
      </c>
      <c r="H471" s="3">
        <v>20083</v>
      </c>
      <c r="I471" s="3">
        <v>31848</v>
      </c>
      <c r="J471" s="3">
        <v>880</v>
      </c>
      <c r="K471" s="3">
        <v>117</v>
      </c>
      <c r="L471" s="3">
        <v>108</v>
      </c>
      <c r="M471" s="3">
        <f t="shared" si="21"/>
        <v>1105</v>
      </c>
      <c r="N471" s="4">
        <f t="shared" si="22"/>
        <v>5.5021660110541257E-2</v>
      </c>
      <c r="O471" s="4">
        <f t="shared" si="23"/>
        <v>0.38535190728375163</v>
      </c>
    </row>
    <row r="472" spans="1:15" x14ac:dyDescent="0.3">
      <c r="A472" s="2" t="s">
        <v>661</v>
      </c>
      <c r="B472" s="2" t="s">
        <v>662</v>
      </c>
      <c r="C472" s="2" t="s">
        <v>49</v>
      </c>
      <c r="D472" s="2" t="s">
        <v>33</v>
      </c>
      <c r="E472" s="2" t="s">
        <v>46</v>
      </c>
      <c r="F472" s="2" t="s">
        <v>30</v>
      </c>
      <c r="G472" s="3">
        <v>31279</v>
      </c>
      <c r="H472" s="3">
        <v>11642</v>
      </c>
      <c r="I472" s="3">
        <v>19625</v>
      </c>
      <c r="J472" s="3">
        <v>103</v>
      </c>
      <c r="K472" s="3">
        <v>11</v>
      </c>
      <c r="L472" s="3">
        <v>26</v>
      </c>
      <c r="M472" s="3">
        <f t="shared" si="21"/>
        <v>140</v>
      </c>
      <c r="N472" s="4">
        <f t="shared" si="22"/>
        <v>1.2025425184676173E-2</v>
      </c>
      <c r="O472" s="4">
        <f t="shared" si="23"/>
        <v>0.37219859969947888</v>
      </c>
    </row>
    <row r="473" spans="1:15" x14ac:dyDescent="0.3">
      <c r="A473" s="2" t="s">
        <v>663</v>
      </c>
      <c r="B473" s="2" t="s">
        <v>662</v>
      </c>
      <c r="C473" s="2" t="s">
        <v>17</v>
      </c>
      <c r="D473" s="2" t="s">
        <v>23</v>
      </c>
      <c r="E473" s="2" t="s">
        <v>34</v>
      </c>
      <c r="F473" s="2" t="s">
        <v>30</v>
      </c>
      <c r="G473" s="3">
        <v>39493</v>
      </c>
      <c r="H473" s="3">
        <v>6456</v>
      </c>
      <c r="I473" s="3">
        <v>10806</v>
      </c>
      <c r="J473" s="3">
        <v>142</v>
      </c>
      <c r="K473" s="3">
        <v>10</v>
      </c>
      <c r="L473" s="3">
        <v>39</v>
      </c>
      <c r="M473" s="3">
        <f t="shared" si="21"/>
        <v>191</v>
      </c>
      <c r="N473" s="4">
        <f t="shared" si="22"/>
        <v>2.9584882280049567E-2</v>
      </c>
      <c r="O473" s="4">
        <f t="shared" si="23"/>
        <v>0.16347200769756665</v>
      </c>
    </row>
    <row r="474" spans="1:15" x14ac:dyDescent="0.3">
      <c r="A474" s="2" t="s">
        <v>664</v>
      </c>
      <c r="B474" s="2" t="s">
        <v>665</v>
      </c>
      <c r="C474" s="2" t="s">
        <v>45</v>
      </c>
      <c r="D474" s="2" t="s">
        <v>23</v>
      </c>
      <c r="E474" s="2" t="s">
        <v>19</v>
      </c>
      <c r="F474" s="2" t="s">
        <v>47</v>
      </c>
      <c r="G474" s="3">
        <v>39307</v>
      </c>
      <c r="H474" s="3">
        <v>5290</v>
      </c>
      <c r="I474" s="3">
        <v>7959</v>
      </c>
      <c r="J474" s="3">
        <v>122</v>
      </c>
      <c r="K474" s="3">
        <v>13</v>
      </c>
      <c r="L474" s="3">
        <v>28</v>
      </c>
      <c r="M474" s="3">
        <f t="shared" si="21"/>
        <v>163</v>
      </c>
      <c r="N474" s="4">
        <f t="shared" si="22"/>
        <v>3.0812854442344044E-2</v>
      </c>
      <c r="O474" s="4">
        <f t="shared" si="23"/>
        <v>0.13458162668227033</v>
      </c>
    </row>
    <row r="475" spans="1:15" x14ac:dyDescent="0.3">
      <c r="A475" s="2" t="s">
        <v>666</v>
      </c>
      <c r="B475" s="2" t="s">
        <v>665</v>
      </c>
      <c r="C475" s="2" t="s">
        <v>45</v>
      </c>
      <c r="D475" s="2" t="s">
        <v>23</v>
      </c>
      <c r="E475" s="2" t="s">
        <v>46</v>
      </c>
      <c r="F475" s="2" t="s">
        <v>35</v>
      </c>
      <c r="G475" s="3">
        <v>39915</v>
      </c>
      <c r="H475" s="3">
        <v>8427</v>
      </c>
      <c r="I475" s="3">
        <v>13503</v>
      </c>
      <c r="J475" s="3">
        <v>226</v>
      </c>
      <c r="K475" s="3">
        <v>30</v>
      </c>
      <c r="L475" s="3">
        <v>28</v>
      </c>
      <c r="M475" s="3">
        <f t="shared" si="21"/>
        <v>284</v>
      </c>
      <c r="N475" s="4">
        <f t="shared" si="22"/>
        <v>3.3701198528539221E-2</v>
      </c>
      <c r="O475" s="4">
        <f t="shared" si="23"/>
        <v>0.21112363773017662</v>
      </c>
    </row>
    <row r="476" spans="1:15" x14ac:dyDescent="0.3">
      <c r="A476" s="2" t="s">
        <v>667</v>
      </c>
      <c r="B476" s="2" t="s">
        <v>665</v>
      </c>
      <c r="C476" s="2" t="s">
        <v>52</v>
      </c>
      <c r="D476" s="2" t="s">
        <v>28</v>
      </c>
      <c r="E476" s="2" t="s">
        <v>29</v>
      </c>
      <c r="F476" s="2" t="s">
        <v>67</v>
      </c>
      <c r="G476" s="3">
        <v>52910</v>
      </c>
      <c r="H476" s="3">
        <v>32104</v>
      </c>
      <c r="I476" s="3">
        <v>36508</v>
      </c>
      <c r="J476" s="3">
        <v>1389</v>
      </c>
      <c r="K476" s="3">
        <v>154</v>
      </c>
      <c r="L476" s="3">
        <v>254</v>
      </c>
      <c r="M476" s="3">
        <f t="shared" si="21"/>
        <v>1797</v>
      </c>
      <c r="N476" s="4">
        <f t="shared" si="22"/>
        <v>5.597433341639671E-2</v>
      </c>
      <c r="O476" s="4">
        <f t="shared" si="23"/>
        <v>0.60676620676620674</v>
      </c>
    </row>
    <row r="477" spans="1:15" x14ac:dyDescent="0.3">
      <c r="A477" s="2" t="s">
        <v>668</v>
      </c>
      <c r="B477" s="2" t="s">
        <v>665</v>
      </c>
      <c r="C477" s="2" t="s">
        <v>17</v>
      </c>
      <c r="D477" s="2" t="s">
        <v>28</v>
      </c>
      <c r="E477" s="2" t="s">
        <v>34</v>
      </c>
      <c r="F477" s="2" t="s">
        <v>25</v>
      </c>
      <c r="G477" s="3">
        <v>53043</v>
      </c>
      <c r="H477" s="3">
        <v>33608</v>
      </c>
      <c r="I477" s="3">
        <v>51677</v>
      </c>
      <c r="J477" s="3">
        <v>1123</v>
      </c>
      <c r="K477" s="3">
        <v>147</v>
      </c>
      <c r="L477" s="3">
        <v>310</v>
      </c>
      <c r="M477" s="3">
        <f t="shared" si="21"/>
        <v>1580</v>
      </c>
      <c r="N477" s="4">
        <f t="shared" si="22"/>
        <v>4.7012616043799096E-2</v>
      </c>
      <c r="O477" s="4">
        <f t="shared" si="23"/>
        <v>0.63359915540222089</v>
      </c>
    </row>
    <row r="478" spans="1:15" x14ac:dyDescent="0.3">
      <c r="A478" s="2" t="s">
        <v>669</v>
      </c>
      <c r="B478" s="2" t="s">
        <v>670</v>
      </c>
      <c r="C478" s="2" t="s">
        <v>39</v>
      </c>
      <c r="D478" s="2" t="s">
        <v>18</v>
      </c>
      <c r="E478" s="2" t="s">
        <v>40</v>
      </c>
      <c r="F478" s="2" t="s">
        <v>79</v>
      </c>
      <c r="G478" s="3">
        <v>23395</v>
      </c>
      <c r="H478" s="3">
        <v>3061</v>
      </c>
      <c r="I478" s="3">
        <v>5504</v>
      </c>
      <c r="J478" s="3">
        <v>148</v>
      </c>
      <c r="K478" s="3">
        <v>12</v>
      </c>
      <c r="L478" s="3">
        <v>61</v>
      </c>
      <c r="M478" s="3">
        <f t="shared" si="21"/>
        <v>221</v>
      </c>
      <c r="N478" s="4">
        <f t="shared" si="22"/>
        <v>7.2198627899379295E-2</v>
      </c>
      <c r="O478" s="4">
        <f t="shared" si="23"/>
        <v>0.130839923060483</v>
      </c>
    </row>
    <row r="479" spans="1:15" x14ac:dyDescent="0.3">
      <c r="A479" s="2" t="s">
        <v>671</v>
      </c>
      <c r="B479" s="2" t="s">
        <v>670</v>
      </c>
      <c r="C479" s="2" t="s">
        <v>73</v>
      </c>
      <c r="D479" s="2" t="s">
        <v>23</v>
      </c>
      <c r="E479" s="2" t="s">
        <v>46</v>
      </c>
      <c r="F479" s="2" t="s">
        <v>41</v>
      </c>
      <c r="G479" s="3">
        <v>40061</v>
      </c>
      <c r="H479" s="3">
        <v>3966</v>
      </c>
      <c r="I479" s="3">
        <v>4743</v>
      </c>
      <c r="J479" s="3">
        <v>94</v>
      </c>
      <c r="K479" s="3">
        <v>16</v>
      </c>
      <c r="L479" s="3">
        <v>11</v>
      </c>
      <c r="M479" s="3">
        <f t="shared" si="21"/>
        <v>121</v>
      </c>
      <c r="N479" s="4">
        <f t="shared" si="22"/>
        <v>3.0509329299041855E-2</v>
      </c>
      <c r="O479" s="4">
        <f t="shared" si="23"/>
        <v>9.8999026484610966E-2</v>
      </c>
    </row>
    <row r="480" spans="1:15" x14ac:dyDescent="0.3">
      <c r="A480" s="2" t="s">
        <v>672</v>
      </c>
      <c r="B480" s="2" t="s">
        <v>670</v>
      </c>
      <c r="C480" s="2" t="s">
        <v>73</v>
      </c>
      <c r="D480" s="2" t="s">
        <v>28</v>
      </c>
      <c r="E480" s="2" t="s">
        <v>24</v>
      </c>
      <c r="F480" s="2" t="s">
        <v>41</v>
      </c>
      <c r="G480" s="3">
        <v>53375</v>
      </c>
      <c r="H480" s="3">
        <v>28957</v>
      </c>
      <c r="I480" s="3">
        <v>39054</v>
      </c>
      <c r="J480" s="3">
        <v>350</v>
      </c>
      <c r="K480" s="3">
        <v>50</v>
      </c>
      <c r="L480" s="3">
        <v>73</v>
      </c>
      <c r="M480" s="3">
        <f t="shared" si="21"/>
        <v>473</v>
      </c>
      <c r="N480" s="4">
        <f t="shared" si="22"/>
        <v>1.6334565044721482E-2</v>
      </c>
      <c r="O480" s="4">
        <f t="shared" si="23"/>
        <v>0.54251990632318503</v>
      </c>
    </row>
    <row r="481" spans="1:15" x14ac:dyDescent="0.3">
      <c r="A481" s="2" t="s">
        <v>673</v>
      </c>
      <c r="B481" s="2" t="s">
        <v>674</v>
      </c>
      <c r="C481" s="2" t="s">
        <v>73</v>
      </c>
      <c r="D481" s="2" t="s">
        <v>33</v>
      </c>
      <c r="E481" s="2" t="s">
        <v>40</v>
      </c>
      <c r="F481" s="2" t="s">
        <v>79</v>
      </c>
      <c r="G481" s="3">
        <v>30534</v>
      </c>
      <c r="H481" s="3">
        <v>5808</v>
      </c>
      <c r="I481" s="3">
        <v>8353</v>
      </c>
      <c r="J481" s="3">
        <v>271</v>
      </c>
      <c r="K481" s="3">
        <v>19</v>
      </c>
      <c r="L481" s="3">
        <v>52</v>
      </c>
      <c r="M481" s="3">
        <f t="shared" si="21"/>
        <v>342</v>
      </c>
      <c r="N481" s="4">
        <f t="shared" si="22"/>
        <v>5.8884297520661155E-2</v>
      </c>
      <c r="O481" s="4">
        <f t="shared" si="23"/>
        <v>0.19021418746315583</v>
      </c>
    </row>
    <row r="482" spans="1:15" x14ac:dyDescent="0.3">
      <c r="A482" s="2" t="s">
        <v>675</v>
      </c>
      <c r="B482" s="2" t="s">
        <v>676</v>
      </c>
      <c r="C482" s="2" t="s">
        <v>45</v>
      </c>
      <c r="D482" s="2" t="s">
        <v>33</v>
      </c>
      <c r="E482" s="2" t="s">
        <v>24</v>
      </c>
      <c r="F482" s="2" t="s">
        <v>30</v>
      </c>
      <c r="G482" s="3">
        <v>30841</v>
      </c>
      <c r="H482" s="3">
        <v>10802</v>
      </c>
      <c r="I482" s="3">
        <v>16900</v>
      </c>
      <c r="J482" s="3">
        <v>295</v>
      </c>
      <c r="K482" s="3">
        <v>43</v>
      </c>
      <c r="L482" s="3">
        <v>66</v>
      </c>
      <c r="M482" s="3">
        <f t="shared" si="21"/>
        <v>404</v>
      </c>
      <c r="N482" s="4">
        <f t="shared" si="22"/>
        <v>3.7400481392334754E-2</v>
      </c>
      <c r="O482" s="4">
        <f t="shared" si="23"/>
        <v>0.35024804643169805</v>
      </c>
    </row>
    <row r="483" spans="1:15" x14ac:dyDescent="0.3">
      <c r="A483" s="2" t="s">
        <v>677</v>
      </c>
      <c r="B483" s="2" t="s">
        <v>676</v>
      </c>
      <c r="C483" s="2" t="s">
        <v>52</v>
      </c>
      <c r="D483" s="2" t="s">
        <v>33</v>
      </c>
      <c r="E483" s="2" t="s">
        <v>34</v>
      </c>
      <c r="F483" s="2" t="s">
        <v>79</v>
      </c>
      <c r="G483" s="3">
        <v>31202</v>
      </c>
      <c r="H483" s="3">
        <v>5707</v>
      </c>
      <c r="I483" s="3">
        <v>8091</v>
      </c>
      <c r="J483" s="3">
        <v>258</v>
      </c>
      <c r="K483" s="3">
        <v>31</v>
      </c>
      <c r="L483" s="3">
        <v>81</v>
      </c>
      <c r="M483" s="3">
        <f t="shared" si="21"/>
        <v>370</v>
      </c>
      <c r="N483" s="4">
        <f t="shared" si="22"/>
        <v>6.4832661643595579E-2</v>
      </c>
      <c r="O483" s="4">
        <f t="shared" si="23"/>
        <v>0.18290494199089802</v>
      </c>
    </row>
    <row r="484" spans="1:15" x14ac:dyDescent="0.3">
      <c r="A484" s="2" t="s">
        <v>678</v>
      </c>
      <c r="B484" s="2" t="s">
        <v>676</v>
      </c>
      <c r="C484" s="2" t="s">
        <v>73</v>
      </c>
      <c r="D484" s="2" t="s">
        <v>18</v>
      </c>
      <c r="E484" s="2" t="s">
        <v>24</v>
      </c>
      <c r="F484" s="2" t="s">
        <v>35</v>
      </c>
      <c r="G484" s="3">
        <v>23356</v>
      </c>
      <c r="H484" s="3">
        <v>4968</v>
      </c>
      <c r="I484" s="3">
        <v>5678</v>
      </c>
      <c r="J484" s="3">
        <v>89</v>
      </c>
      <c r="K484" s="3">
        <v>20</v>
      </c>
      <c r="L484" s="3">
        <v>27</v>
      </c>
      <c r="M484" s="3">
        <f t="shared" si="21"/>
        <v>136</v>
      </c>
      <c r="N484" s="4">
        <f t="shared" si="22"/>
        <v>2.7375201288244767E-2</v>
      </c>
      <c r="O484" s="4">
        <f t="shared" si="23"/>
        <v>0.2127076554204487</v>
      </c>
    </row>
    <row r="485" spans="1:15" x14ac:dyDescent="0.3">
      <c r="A485" s="2" t="s">
        <v>679</v>
      </c>
      <c r="B485" s="2" t="s">
        <v>676</v>
      </c>
      <c r="C485" s="2" t="s">
        <v>52</v>
      </c>
      <c r="D485" s="2" t="s">
        <v>18</v>
      </c>
      <c r="E485" s="2" t="s">
        <v>24</v>
      </c>
      <c r="F485" s="2" t="s">
        <v>67</v>
      </c>
      <c r="G485" s="3">
        <v>22949</v>
      </c>
      <c r="H485" s="3">
        <v>2673</v>
      </c>
      <c r="I485" s="3">
        <v>3886</v>
      </c>
      <c r="J485" s="3">
        <v>73</v>
      </c>
      <c r="K485" s="3">
        <v>8</v>
      </c>
      <c r="L485" s="3">
        <v>29</v>
      </c>
      <c r="M485" s="3">
        <f t="shared" si="21"/>
        <v>110</v>
      </c>
      <c r="N485" s="4">
        <f t="shared" si="22"/>
        <v>4.1152263374485597E-2</v>
      </c>
      <c r="O485" s="4">
        <f t="shared" si="23"/>
        <v>0.11647566342760034</v>
      </c>
    </row>
    <row r="486" spans="1:15" x14ac:dyDescent="0.3">
      <c r="A486" s="2" t="s">
        <v>680</v>
      </c>
      <c r="B486" s="2" t="s">
        <v>676</v>
      </c>
      <c r="C486" s="2" t="s">
        <v>39</v>
      </c>
      <c r="D486" s="2" t="s">
        <v>23</v>
      </c>
      <c r="E486" s="2" t="s">
        <v>19</v>
      </c>
      <c r="F486" s="2" t="s">
        <v>20</v>
      </c>
      <c r="G486" s="3">
        <v>39676</v>
      </c>
      <c r="H486" s="3">
        <v>5228</v>
      </c>
      <c r="I486" s="3">
        <v>6392</v>
      </c>
      <c r="J486" s="3">
        <v>253</v>
      </c>
      <c r="K486" s="3">
        <v>38</v>
      </c>
      <c r="L486" s="3">
        <v>83</v>
      </c>
      <c r="M486" s="3">
        <f t="shared" si="21"/>
        <v>374</v>
      </c>
      <c r="N486" s="4">
        <f t="shared" si="22"/>
        <v>7.1537872991583776E-2</v>
      </c>
      <c r="O486" s="4">
        <f t="shared" si="23"/>
        <v>0.13176731525355379</v>
      </c>
    </row>
    <row r="487" spans="1:15" x14ac:dyDescent="0.3">
      <c r="A487" s="2" t="s">
        <v>681</v>
      </c>
      <c r="B487" s="2" t="s">
        <v>676</v>
      </c>
      <c r="C487" s="2" t="s">
        <v>55</v>
      </c>
      <c r="D487" s="2" t="s">
        <v>23</v>
      </c>
      <c r="E487" s="2" t="s">
        <v>29</v>
      </c>
      <c r="F487" s="2" t="s">
        <v>30</v>
      </c>
      <c r="G487" s="3">
        <v>40162</v>
      </c>
      <c r="H487" s="3">
        <v>6561</v>
      </c>
      <c r="I487" s="3">
        <v>10991</v>
      </c>
      <c r="J487" s="3">
        <v>354</v>
      </c>
      <c r="K487" s="3">
        <v>43</v>
      </c>
      <c r="L487" s="3">
        <v>101</v>
      </c>
      <c r="M487" s="3">
        <f t="shared" si="21"/>
        <v>498</v>
      </c>
      <c r="N487" s="4">
        <f t="shared" si="22"/>
        <v>7.5903063557384548E-2</v>
      </c>
      <c r="O487" s="4">
        <f t="shared" si="23"/>
        <v>0.16336337831781286</v>
      </c>
    </row>
    <row r="488" spans="1:15" x14ac:dyDescent="0.3">
      <c r="A488" s="2" t="s">
        <v>682</v>
      </c>
      <c r="B488" s="2" t="s">
        <v>676</v>
      </c>
      <c r="C488" s="2" t="s">
        <v>27</v>
      </c>
      <c r="D488" s="2" t="s">
        <v>50</v>
      </c>
      <c r="E488" s="2" t="s">
        <v>19</v>
      </c>
      <c r="F488" s="2" t="s">
        <v>79</v>
      </c>
      <c r="G488" s="3">
        <v>12241</v>
      </c>
      <c r="H488" s="3">
        <v>2213</v>
      </c>
      <c r="I488" s="3">
        <v>3703</v>
      </c>
      <c r="J488" s="3">
        <v>41</v>
      </c>
      <c r="K488" s="3">
        <v>5</v>
      </c>
      <c r="L488" s="3">
        <v>11</v>
      </c>
      <c r="M488" s="3">
        <f t="shared" si="21"/>
        <v>57</v>
      </c>
      <c r="N488" s="4">
        <f t="shared" si="22"/>
        <v>2.5756891098056935E-2</v>
      </c>
      <c r="O488" s="4">
        <f t="shared" si="23"/>
        <v>0.1807858835062495</v>
      </c>
    </row>
    <row r="489" spans="1:15" x14ac:dyDescent="0.3">
      <c r="A489" s="2" t="s">
        <v>683</v>
      </c>
      <c r="B489" s="2" t="s">
        <v>676</v>
      </c>
      <c r="C489" s="2" t="s">
        <v>27</v>
      </c>
      <c r="D489" s="2" t="s">
        <v>28</v>
      </c>
      <c r="E489" s="2" t="s">
        <v>40</v>
      </c>
      <c r="F489" s="2" t="s">
        <v>47</v>
      </c>
      <c r="G489" s="3">
        <v>52908</v>
      </c>
      <c r="H489" s="3">
        <v>31469</v>
      </c>
      <c r="I489" s="3">
        <v>44192</v>
      </c>
      <c r="J489" s="3">
        <v>1205</v>
      </c>
      <c r="K489" s="3">
        <v>138</v>
      </c>
      <c r="L489" s="3">
        <v>361</v>
      </c>
      <c r="M489" s="3">
        <f t="shared" si="21"/>
        <v>1704</v>
      </c>
      <c r="N489" s="4">
        <f t="shared" si="22"/>
        <v>5.4148527121929517E-2</v>
      </c>
      <c r="O489" s="4">
        <f t="shared" si="23"/>
        <v>0.59478717774249645</v>
      </c>
    </row>
    <row r="490" spans="1:15" x14ac:dyDescent="0.3">
      <c r="A490" s="2" t="s">
        <v>684</v>
      </c>
      <c r="B490" s="2" t="s">
        <v>685</v>
      </c>
      <c r="C490" s="2" t="s">
        <v>49</v>
      </c>
      <c r="D490" s="2" t="s">
        <v>18</v>
      </c>
      <c r="E490" s="2" t="s">
        <v>46</v>
      </c>
      <c r="F490" s="2" t="s">
        <v>79</v>
      </c>
      <c r="G490" s="3">
        <v>23602</v>
      </c>
      <c r="H490" s="3">
        <v>4398</v>
      </c>
      <c r="I490" s="3">
        <v>7664</v>
      </c>
      <c r="J490" s="3">
        <v>98</v>
      </c>
      <c r="K490" s="3">
        <v>10</v>
      </c>
      <c r="L490" s="3">
        <v>33</v>
      </c>
      <c r="M490" s="3">
        <f t="shared" si="21"/>
        <v>141</v>
      </c>
      <c r="N490" s="4">
        <f t="shared" si="22"/>
        <v>3.2060027285129605E-2</v>
      </c>
      <c r="O490" s="4">
        <f t="shared" si="23"/>
        <v>0.18634014066604526</v>
      </c>
    </row>
    <row r="491" spans="1:15" x14ac:dyDescent="0.3">
      <c r="A491" s="2" t="s">
        <v>686</v>
      </c>
      <c r="B491" s="2" t="s">
        <v>685</v>
      </c>
      <c r="C491" s="2" t="s">
        <v>27</v>
      </c>
      <c r="D491" s="2" t="s">
        <v>23</v>
      </c>
      <c r="E491" s="2" t="s">
        <v>40</v>
      </c>
      <c r="F491" s="2" t="s">
        <v>25</v>
      </c>
      <c r="G491" s="3">
        <v>39851</v>
      </c>
      <c r="H491" s="3">
        <v>6472</v>
      </c>
      <c r="I491" s="3">
        <v>8002</v>
      </c>
      <c r="J491" s="3">
        <v>235</v>
      </c>
      <c r="K491" s="3">
        <v>21</v>
      </c>
      <c r="L491" s="3">
        <v>56</v>
      </c>
      <c r="M491" s="3">
        <f t="shared" si="21"/>
        <v>312</v>
      </c>
      <c r="N491" s="4">
        <f t="shared" si="22"/>
        <v>4.8207663782447466E-2</v>
      </c>
      <c r="O491" s="4">
        <f t="shared" si="23"/>
        <v>0.16240495847030187</v>
      </c>
    </row>
    <row r="492" spans="1:15" x14ac:dyDescent="0.3">
      <c r="A492" s="2" t="s">
        <v>687</v>
      </c>
      <c r="B492" s="2" t="s">
        <v>685</v>
      </c>
      <c r="C492" s="2" t="s">
        <v>39</v>
      </c>
      <c r="D492" s="2" t="s">
        <v>50</v>
      </c>
      <c r="E492" s="2" t="s">
        <v>34</v>
      </c>
      <c r="F492" s="2" t="s">
        <v>67</v>
      </c>
      <c r="G492" s="3">
        <v>12436</v>
      </c>
      <c r="H492" s="3">
        <v>2994</v>
      </c>
      <c r="I492" s="3">
        <v>4730</v>
      </c>
      <c r="J492" s="3">
        <v>69</v>
      </c>
      <c r="K492" s="3">
        <v>6</v>
      </c>
      <c r="L492" s="3">
        <v>17</v>
      </c>
      <c r="M492" s="3">
        <f t="shared" si="21"/>
        <v>92</v>
      </c>
      <c r="N492" s="4">
        <f t="shared" si="22"/>
        <v>3.0728122912491648E-2</v>
      </c>
      <c r="O492" s="4">
        <f t="shared" si="23"/>
        <v>0.24075265358636216</v>
      </c>
    </row>
    <row r="493" spans="1:15" x14ac:dyDescent="0.3">
      <c r="A493" s="2" t="s">
        <v>688</v>
      </c>
      <c r="B493" s="2" t="s">
        <v>685</v>
      </c>
      <c r="C493" s="2" t="s">
        <v>49</v>
      </c>
      <c r="D493" s="2" t="s">
        <v>50</v>
      </c>
      <c r="E493" s="2" t="s">
        <v>34</v>
      </c>
      <c r="F493" s="2" t="s">
        <v>30</v>
      </c>
      <c r="G493" s="3">
        <v>12260</v>
      </c>
      <c r="H493" s="3">
        <v>3146</v>
      </c>
      <c r="I493" s="3">
        <v>5429</v>
      </c>
      <c r="J493" s="3">
        <v>56</v>
      </c>
      <c r="K493" s="3">
        <v>4</v>
      </c>
      <c r="L493" s="3">
        <v>17</v>
      </c>
      <c r="M493" s="3">
        <f t="shared" si="21"/>
        <v>77</v>
      </c>
      <c r="N493" s="4">
        <f t="shared" si="22"/>
        <v>2.4475524475524476E-2</v>
      </c>
      <c r="O493" s="4">
        <f t="shared" si="23"/>
        <v>0.25660685154975532</v>
      </c>
    </row>
    <row r="494" spans="1:15" x14ac:dyDescent="0.3">
      <c r="A494" s="2" t="s">
        <v>689</v>
      </c>
      <c r="B494" s="2" t="s">
        <v>685</v>
      </c>
      <c r="C494" s="2" t="s">
        <v>52</v>
      </c>
      <c r="D494" s="2" t="s">
        <v>28</v>
      </c>
      <c r="E494" s="2" t="s">
        <v>40</v>
      </c>
      <c r="F494" s="2" t="s">
        <v>20</v>
      </c>
      <c r="G494" s="3">
        <v>54338</v>
      </c>
      <c r="H494" s="3">
        <v>38154</v>
      </c>
      <c r="I494" s="3">
        <v>48735</v>
      </c>
      <c r="J494" s="3">
        <v>1737</v>
      </c>
      <c r="K494" s="3">
        <v>250</v>
      </c>
      <c r="L494" s="3">
        <v>211</v>
      </c>
      <c r="M494" s="3">
        <f t="shared" si="21"/>
        <v>2198</v>
      </c>
      <c r="N494" s="4">
        <f t="shared" si="22"/>
        <v>5.7608638674844052E-2</v>
      </c>
      <c r="O494" s="4">
        <f t="shared" si="23"/>
        <v>0.70216055062755345</v>
      </c>
    </row>
    <row r="495" spans="1:15" x14ac:dyDescent="0.3">
      <c r="A495" s="2" t="s">
        <v>690</v>
      </c>
      <c r="B495" s="2" t="s">
        <v>691</v>
      </c>
      <c r="C495" s="2" t="s">
        <v>64</v>
      </c>
      <c r="D495" s="2" t="s">
        <v>28</v>
      </c>
      <c r="E495" s="2" t="s">
        <v>29</v>
      </c>
      <c r="F495" s="2" t="s">
        <v>67</v>
      </c>
      <c r="G495" s="3">
        <v>53315</v>
      </c>
      <c r="H495" s="3">
        <v>24856</v>
      </c>
      <c r="I495" s="3">
        <v>28386</v>
      </c>
      <c r="J495" s="3">
        <v>1193</v>
      </c>
      <c r="K495" s="3">
        <v>162</v>
      </c>
      <c r="L495" s="3">
        <v>375</v>
      </c>
      <c r="M495" s="3">
        <f t="shared" si="21"/>
        <v>1730</v>
      </c>
      <c r="N495" s="4">
        <f t="shared" si="22"/>
        <v>6.9600901190859349E-2</v>
      </c>
      <c r="O495" s="4">
        <f t="shared" si="23"/>
        <v>0.46621025977679825</v>
      </c>
    </row>
    <row r="496" spans="1:15" x14ac:dyDescent="0.3">
      <c r="A496" s="2" t="s">
        <v>692</v>
      </c>
      <c r="B496" s="2" t="s">
        <v>693</v>
      </c>
      <c r="C496" s="2" t="s">
        <v>52</v>
      </c>
      <c r="D496" s="2" t="s">
        <v>18</v>
      </c>
      <c r="E496" s="2" t="s">
        <v>46</v>
      </c>
      <c r="F496" s="2" t="s">
        <v>47</v>
      </c>
      <c r="G496" s="3">
        <v>22880</v>
      </c>
      <c r="H496" s="3">
        <v>4761</v>
      </c>
      <c r="I496" s="3">
        <v>6674</v>
      </c>
      <c r="J496" s="3">
        <v>80</v>
      </c>
      <c r="K496" s="3">
        <v>11</v>
      </c>
      <c r="L496" s="3">
        <v>30</v>
      </c>
      <c r="M496" s="3">
        <f t="shared" si="21"/>
        <v>121</v>
      </c>
      <c r="N496" s="4">
        <f t="shared" si="22"/>
        <v>2.541482881747532E-2</v>
      </c>
      <c r="O496" s="4">
        <f t="shared" si="23"/>
        <v>0.20808566433566433</v>
      </c>
    </row>
    <row r="497" spans="1:15" x14ac:dyDescent="0.3">
      <c r="A497" s="2" t="s">
        <v>694</v>
      </c>
      <c r="B497" s="2" t="s">
        <v>693</v>
      </c>
      <c r="C497" s="2" t="s">
        <v>43</v>
      </c>
      <c r="D497" s="2" t="s">
        <v>23</v>
      </c>
      <c r="E497" s="2" t="s">
        <v>24</v>
      </c>
      <c r="F497" s="2" t="s">
        <v>35</v>
      </c>
      <c r="G497" s="3">
        <v>40032</v>
      </c>
      <c r="H497" s="3">
        <v>3307</v>
      </c>
      <c r="I497" s="3">
        <v>4789</v>
      </c>
      <c r="J497" s="3">
        <v>66</v>
      </c>
      <c r="K497" s="3">
        <v>5</v>
      </c>
      <c r="L497" s="3">
        <v>31</v>
      </c>
      <c r="M497" s="3">
        <f t="shared" si="21"/>
        <v>102</v>
      </c>
      <c r="N497" s="4">
        <f t="shared" si="22"/>
        <v>3.0843664953129724E-2</v>
      </c>
      <c r="O497" s="4">
        <f t="shared" si="23"/>
        <v>8.2608912869704232E-2</v>
      </c>
    </row>
    <row r="498" spans="1:15" x14ac:dyDescent="0.3">
      <c r="A498" s="2" t="s">
        <v>695</v>
      </c>
      <c r="B498" s="2" t="s">
        <v>693</v>
      </c>
      <c r="C498" s="2" t="s">
        <v>43</v>
      </c>
      <c r="D498" s="2" t="s">
        <v>23</v>
      </c>
      <c r="E498" s="2" t="s">
        <v>29</v>
      </c>
      <c r="F498" s="2" t="s">
        <v>20</v>
      </c>
      <c r="G498" s="3">
        <v>39910</v>
      </c>
      <c r="H498" s="3">
        <v>8247</v>
      </c>
      <c r="I498" s="3">
        <v>12389</v>
      </c>
      <c r="J498" s="3">
        <v>298</v>
      </c>
      <c r="K498" s="3">
        <v>37</v>
      </c>
      <c r="L498" s="3">
        <v>42</v>
      </c>
      <c r="M498" s="3">
        <f t="shared" si="21"/>
        <v>377</v>
      </c>
      <c r="N498" s="4">
        <f t="shared" si="22"/>
        <v>4.5713592821632107E-2</v>
      </c>
      <c r="O498" s="4">
        <f t="shared" si="23"/>
        <v>0.20663993986469556</v>
      </c>
    </row>
    <row r="499" spans="1:15" x14ac:dyDescent="0.3">
      <c r="A499" s="2" t="s">
        <v>696</v>
      </c>
      <c r="B499" s="2" t="s">
        <v>693</v>
      </c>
      <c r="C499" s="2" t="s">
        <v>83</v>
      </c>
      <c r="D499" s="2" t="s">
        <v>50</v>
      </c>
      <c r="E499" s="2" t="s">
        <v>34</v>
      </c>
      <c r="F499" s="2" t="s">
        <v>25</v>
      </c>
      <c r="G499" s="3">
        <v>12267</v>
      </c>
      <c r="H499" s="3">
        <v>4164</v>
      </c>
      <c r="I499" s="3">
        <v>6964</v>
      </c>
      <c r="J499" s="3">
        <v>111</v>
      </c>
      <c r="K499" s="3">
        <v>21</v>
      </c>
      <c r="L499" s="3">
        <v>20</v>
      </c>
      <c r="M499" s="3">
        <f t="shared" si="21"/>
        <v>152</v>
      </c>
      <c r="N499" s="4">
        <f t="shared" si="22"/>
        <v>3.6503362151777137E-2</v>
      </c>
      <c r="O499" s="4">
        <f t="shared" si="23"/>
        <v>0.33944729762778186</v>
      </c>
    </row>
    <row r="500" spans="1:15" x14ac:dyDescent="0.3">
      <c r="A500" s="2" t="s">
        <v>697</v>
      </c>
      <c r="B500" s="2" t="s">
        <v>693</v>
      </c>
      <c r="C500" s="2" t="s">
        <v>17</v>
      </c>
      <c r="D500" s="2" t="s">
        <v>28</v>
      </c>
      <c r="E500" s="2" t="s">
        <v>34</v>
      </c>
      <c r="F500" s="2" t="s">
        <v>30</v>
      </c>
      <c r="G500" s="3">
        <v>53353</v>
      </c>
      <c r="H500" s="3">
        <v>42931</v>
      </c>
      <c r="I500" s="3">
        <v>57443</v>
      </c>
      <c r="J500" s="3">
        <v>1733</v>
      </c>
      <c r="K500" s="3">
        <v>179</v>
      </c>
      <c r="L500" s="3">
        <v>357</v>
      </c>
      <c r="M500" s="3">
        <f t="shared" si="21"/>
        <v>2269</v>
      </c>
      <c r="N500" s="4">
        <f t="shared" si="22"/>
        <v>5.2852251286948822E-2</v>
      </c>
      <c r="O500" s="4">
        <f t="shared" si="23"/>
        <v>0.8046595317976496</v>
      </c>
    </row>
    <row r="501" spans="1:15" x14ac:dyDescent="0.3">
      <c r="A501" s="2" t="s">
        <v>698</v>
      </c>
      <c r="B501" s="2" t="s">
        <v>699</v>
      </c>
      <c r="C501" s="2" t="s">
        <v>64</v>
      </c>
      <c r="D501" s="2" t="s">
        <v>33</v>
      </c>
      <c r="E501" s="2" t="s">
        <v>40</v>
      </c>
      <c r="F501" s="2" t="s">
        <v>25</v>
      </c>
      <c r="G501" s="3">
        <v>31083</v>
      </c>
      <c r="H501" s="3">
        <v>8868</v>
      </c>
      <c r="I501" s="3">
        <v>10417</v>
      </c>
      <c r="J501" s="3">
        <v>471</v>
      </c>
      <c r="K501" s="3">
        <v>90</v>
      </c>
      <c r="L501" s="3">
        <v>91</v>
      </c>
      <c r="M501" s="3">
        <f t="shared" si="21"/>
        <v>652</v>
      </c>
      <c r="N501" s="4">
        <f t="shared" si="22"/>
        <v>7.3522778529544433E-2</v>
      </c>
      <c r="O501" s="4">
        <f t="shared" si="23"/>
        <v>0.28530064665572819</v>
      </c>
    </row>
    <row r="502" spans="1:15" x14ac:dyDescent="0.3">
      <c r="A502" s="2" t="s">
        <v>700</v>
      </c>
      <c r="B502" s="2" t="s">
        <v>699</v>
      </c>
      <c r="C502" s="2" t="s">
        <v>27</v>
      </c>
      <c r="D502" s="2" t="s">
        <v>33</v>
      </c>
      <c r="E502" s="2" t="s">
        <v>46</v>
      </c>
      <c r="F502" s="2" t="s">
        <v>25</v>
      </c>
      <c r="G502" s="3">
        <v>30884</v>
      </c>
      <c r="H502" s="3">
        <v>7169</v>
      </c>
      <c r="I502" s="3">
        <v>11497</v>
      </c>
      <c r="J502" s="3">
        <v>129</v>
      </c>
      <c r="K502" s="3">
        <v>10</v>
      </c>
      <c r="L502" s="3">
        <v>40</v>
      </c>
      <c r="M502" s="3">
        <f t="shared" si="21"/>
        <v>179</v>
      </c>
      <c r="N502" s="4">
        <f t="shared" si="22"/>
        <v>2.4968614869577348E-2</v>
      </c>
      <c r="O502" s="4">
        <f t="shared" si="23"/>
        <v>0.23212666753011268</v>
      </c>
    </row>
    <row r="503" spans="1:15" x14ac:dyDescent="0.3">
      <c r="A503" s="2" t="s">
        <v>701</v>
      </c>
      <c r="B503" s="2" t="s">
        <v>699</v>
      </c>
      <c r="C503" s="2" t="s">
        <v>55</v>
      </c>
      <c r="D503" s="2" t="s">
        <v>23</v>
      </c>
      <c r="E503" s="2" t="s">
        <v>40</v>
      </c>
      <c r="F503" s="2" t="s">
        <v>67</v>
      </c>
      <c r="G503" s="3">
        <v>38914</v>
      </c>
      <c r="H503" s="3">
        <v>3418</v>
      </c>
      <c r="I503" s="3">
        <v>5644</v>
      </c>
      <c r="J503" s="3">
        <v>61</v>
      </c>
      <c r="K503" s="3">
        <v>12</v>
      </c>
      <c r="L503" s="3">
        <v>19</v>
      </c>
      <c r="M503" s="3">
        <f t="shared" si="21"/>
        <v>92</v>
      </c>
      <c r="N503" s="4">
        <f t="shared" si="22"/>
        <v>2.6916325336454067E-2</v>
      </c>
      <c r="O503" s="4">
        <f t="shared" si="23"/>
        <v>8.7834712442822635E-2</v>
      </c>
    </row>
    <row r="504" spans="1:15" x14ac:dyDescent="0.3">
      <c r="A504" s="2" t="s">
        <v>702</v>
      </c>
      <c r="B504" s="2" t="s">
        <v>699</v>
      </c>
      <c r="C504" s="2" t="s">
        <v>45</v>
      </c>
      <c r="D504" s="2" t="s">
        <v>50</v>
      </c>
      <c r="E504" s="2" t="s">
        <v>24</v>
      </c>
      <c r="F504" s="2" t="s">
        <v>20</v>
      </c>
      <c r="G504" s="3">
        <v>12655</v>
      </c>
      <c r="H504" s="3">
        <v>2196</v>
      </c>
      <c r="I504" s="3">
        <v>2526</v>
      </c>
      <c r="J504" s="3">
        <v>52</v>
      </c>
      <c r="K504" s="3">
        <v>3</v>
      </c>
      <c r="L504" s="3">
        <v>18</v>
      </c>
      <c r="M504" s="3">
        <f t="shared" si="21"/>
        <v>73</v>
      </c>
      <c r="N504" s="4">
        <f t="shared" si="22"/>
        <v>3.3242258652094715E-2</v>
      </c>
      <c r="O504" s="4">
        <f t="shared" si="23"/>
        <v>0.17352824970367445</v>
      </c>
    </row>
    <row r="505" spans="1:15" x14ac:dyDescent="0.3">
      <c r="A505" s="2" t="s">
        <v>703</v>
      </c>
      <c r="B505" s="2" t="s">
        <v>699</v>
      </c>
      <c r="C505" s="2" t="s">
        <v>45</v>
      </c>
      <c r="D505" s="2" t="s">
        <v>28</v>
      </c>
      <c r="E505" s="2" t="s">
        <v>19</v>
      </c>
      <c r="F505" s="2" t="s">
        <v>67</v>
      </c>
      <c r="G505" s="3">
        <v>53013</v>
      </c>
      <c r="H505" s="3">
        <v>14974</v>
      </c>
      <c r="I505" s="3">
        <v>19692</v>
      </c>
      <c r="J505" s="3">
        <v>709</v>
      </c>
      <c r="K505" s="3">
        <v>66</v>
      </c>
      <c r="L505" s="3">
        <v>212</v>
      </c>
      <c r="M505" s="3">
        <f t="shared" si="21"/>
        <v>987</v>
      </c>
      <c r="N505" s="4">
        <f t="shared" si="22"/>
        <v>6.5914251369039667E-2</v>
      </c>
      <c r="O505" s="4">
        <f t="shared" si="23"/>
        <v>0.2824590194857865</v>
      </c>
    </row>
    <row r="506" spans="1:15" x14ac:dyDescent="0.3">
      <c r="A506" s="2" t="s">
        <v>704</v>
      </c>
      <c r="B506" s="2" t="s">
        <v>705</v>
      </c>
      <c r="C506" s="2" t="s">
        <v>73</v>
      </c>
      <c r="D506" s="2" t="s">
        <v>33</v>
      </c>
      <c r="E506" s="2" t="s">
        <v>34</v>
      </c>
      <c r="F506" s="2" t="s">
        <v>47</v>
      </c>
      <c r="G506" s="3">
        <v>31498</v>
      </c>
      <c r="H506" s="3">
        <v>10905</v>
      </c>
      <c r="I506" s="3">
        <v>12477</v>
      </c>
      <c r="J506" s="3">
        <v>184</v>
      </c>
      <c r="K506" s="3">
        <v>35</v>
      </c>
      <c r="L506" s="3">
        <v>44</v>
      </c>
      <c r="M506" s="3">
        <f t="shared" si="21"/>
        <v>263</v>
      </c>
      <c r="N506" s="4">
        <f t="shared" si="22"/>
        <v>2.4117377349839524E-2</v>
      </c>
      <c r="O506" s="4">
        <f t="shared" si="23"/>
        <v>0.34621245793383709</v>
      </c>
    </row>
    <row r="507" spans="1:15" x14ac:dyDescent="0.3">
      <c r="A507" s="2" t="s">
        <v>706</v>
      </c>
      <c r="B507" s="2" t="s">
        <v>705</v>
      </c>
      <c r="C507" s="2" t="s">
        <v>52</v>
      </c>
      <c r="D507" s="2" t="s">
        <v>23</v>
      </c>
      <c r="E507" s="2" t="s">
        <v>24</v>
      </c>
      <c r="F507" s="2" t="s">
        <v>20</v>
      </c>
      <c r="G507" s="3">
        <v>39421</v>
      </c>
      <c r="H507" s="3">
        <v>8477</v>
      </c>
      <c r="I507" s="3">
        <v>10589</v>
      </c>
      <c r="J507" s="3">
        <v>68</v>
      </c>
      <c r="K507" s="3">
        <v>5</v>
      </c>
      <c r="L507" s="3">
        <v>28</v>
      </c>
      <c r="M507" s="3">
        <f t="shared" si="21"/>
        <v>101</v>
      </c>
      <c r="N507" s="4">
        <f t="shared" si="22"/>
        <v>1.1914592426566003E-2</v>
      </c>
      <c r="O507" s="4">
        <f t="shared" si="23"/>
        <v>0.21503767027726339</v>
      </c>
    </row>
    <row r="508" spans="1:15" x14ac:dyDescent="0.3">
      <c r="A508" s="2" t="s">
        <v>707</v>
      </c>
      <c r="B508" s="2" t="s">
        <v>705</v>
      </c>
      <c r="C508" s="2" t="s">
        <v>45</v>
      </c>
      <c r="D508" s="2" t="s">
        <v>50</v>
      </c>
      <c r="E508" s="2" t="s">
        <v>46</v>
      </c>
      <c r="F508" s="2" t="s">
        <v>79</v>
      </c>
      <c r="G508" s="3">
        <v>12578</v>
      </c>
      <c r="H508" s="3">
        <v>2778</v>
      </c>
      <c r="I508" s="3">
        <v>4855</v>
      </c>
      <c r="J508" s="3">
        <v>18</v>
      </c>
      <c r="K508" s="3">
        <v>3</v>
      </c>
      <c r="L508" s="3">
        <v>7</v>
      </c>
      <c r="M508" s="3">
        <f t="shared" si="21"/>
        <v>28</v>
      </c>
      <c r="N508" s="4">
        <f t="shared" si="22"/>
        <v>1.0079193664506839E-2</v>
      </c>
      <c r="O508" s="4">
        <f t="shared" si="23"/>
        <v>0.22086182222928924</v>
      </c>
    </row>
    <row r="509" spans="1:15" x14ac:dyDescent="0.3">
      <c r="A509" s="2" t="s">
        <v>708</v>
      </c>
      <c r="B509" s="2" t="s">
        <v>705</v>
      </c>
      <c r="C509" s="2" t="s">
        <v>64</v>
      </c>
      <c r="D509" s="2" t="s">
        <v>28</v>
      </c>
      <c r="E509" s="2" t="s">
        <v>40</v>
      </c>
      <c r="F509" s="2" t="s">
        <v>30</v>
      </c>
      <c r="G509" s="3">
        <v>52731</v>
      </c>
      <c r="H509" s="3">
        <v>19332</v>
      </c>
      <c r="I509" s="3">
        <v>22471</v>
      </c>
      <c r="J509" s="3">
        <v>1073</v>
      </c>
      <c r="K509" s="3">
        <v>125</v>
      </c>
      <c r="L509" s="3">
        <v>173</v>
      </c>
      <c r="M509" s="3">
        <f t="shared" si="21"/>
        <v>1371</v>
      </c>
      <c r="N509" s="4">
        <f t="shared" si="22"/>
        <v>7.0918684047175662E-2</v>
      </c>
      <c r="O509" s="4">
        <f t="shared" si="23"/>
        <v>0.36661546338965695</v>
      </c>
    </row>
    <row r="510" spans="1:15" x14ac:dyDescent="0.3">
      <c r="A510" s="2" t="s">
        <v>709</v>
      </c>
      <c r="B510" s="2" t="s">
        <v>710</v>
      </c>
      <c r="C510" s="2" t="s">
        <v>55</v>
      </c>
      <c r="D510" s="2" t="s">
        <v>18</v>
      </c>
      <c r="E510" s="2" t="s">
        <v>24</v>
      </c>
      <c r="F510" s="2" t="s">
        <v>47</v>
      </c>
      <c r="G510" s="3">
        <v>23261</v>
      </c>
      <c r="H510" s="3">
        <v>6690</v>
      </c>
      <c r="I510" s="3">
        <v>10218</v>
      </c>
      <c r="J510" s="3">
        <v>60</v>
      </c>
      <c r="K510" s="3">
        <v>12</v>
      </c>
      <c r="L510" s="3">
        <v>12</v>
      </c>
      <c r="M510" s="3">
        <f t="shared" si="21"/>
        <v>84</v>
      </c>
      <c r="N510" s="4">
        <f t="shared" si="22"/>
        <v>1.2556053811659192E-2</v>
      </c>
      <c r="O510" s="4">
        <f t="shared" si="23"/>
        <v>0.28760586389235199</v>
      </c>
    </row>
    <row r="511" spans="1:15" x14ac:dyDescent="0.3">
      <c r="A511" s="2" t="s">
        <v>711</v>
      </c>
      <c r="B511" s="2" t="s">
        <v>710</v>
      </c>
      <c r="C511" s="2" t="s">
        <v>64</v>
      </c>
      <c r="D511" s="2" t="s">
        <v>50</v>
      </c>
      <c r="E511" s="2" t="s">
        <v>24</v>
      </c>
      <c r="F511" s="2" t="s">
        <v>25</v>
      </c>
      <c r="G511" s="3">
        <v>12414</v>
      </c>
      <c r="H511" s="3">
        <v>4306</v>
      </c>
      <c r="I511" s="3">
        <v>7680</v>
      </c>
      <c r="J511" s="3">
        <v>125</v>
      </c>
      <c r="K511" s="3">
        <v>15</v>
      </c>
      <c r="L511" s="3">
        <v>17</v>
      </c>
      <c r="M511" s="3">
        <f t="shared" si="21"/>
        <v>157</v>
      </c>
      <c r="N511" s="4">
        <f t="shared" si="22"/>
        <v>3.6460752438457963E-2</v>
      </c>
      <c r="O511" s="4">
        <f t="shared" si="23"/>
        <v>0.34686644111487031</v>
      </c>
    </row>
    <row r="512" spans="1:15" x14ac:dyDescent="0.3">
      <c r="A512" s="2" t="s">
        <v>712</v>
      </c>
      <c r="B512" s="2" t="s">
        <v>713</v>
      </c>
      <c r="C512" s="2" t="s">
        <v>45</v>
      </c>
      <c r="D512" s="2" t="s">
        <v>18</v>
      </c>
      <c r="E512" s="2" t="s">
        <v>19</v>
      </c>
      <c r="F512" s="2" t="s">
        <v>47</v>
      </c>
      <c r="G512" s="3">
        <v>23373</v>
      </c>
      <c r="H512" s="3">
        <v>3084</v>
      </c>
      <c r="I512" s="3">
        <v>5384</v>
      </c>
      <c r="J512" s="3">
        <v>53</v>
      </c>
      <c r="K512" s="3">
        <v>5</v>
      </c>
      <c r="L512" s="3">
        <v>20</v>
      </c>
      <c r="M512" s="3">
        <f t="shared" si="21"/>
        <v>78</v>
      </c>
      <c r="N512" s="4">
        <f t="shared" si="22"/>
        <v>2.5291828793774319E-2</v>
      </c>
      <c r="O512" s="4">
        <f t="shared" si="23"/>
        <v>0.13194711847002952</v>
      </c>
    </row>
    <row r="513" spans="1:15" x14ac:dyDescent="0.3">
      <c r="A513" s="2" t="s">
        <v>714</v>
      </c>
      <c r="B513" s="2" t="s">
        <v>713</v>
      </c>
      <c r="C513" s="2" t="s">
        <v>43</v>
      </c>
      <c r="D513" s="2" t="s">
        <v>28</v>
      </c>
      <c r="E513" s="2" t="s">
        <v>24</v>
      </c>
      <c r="F513" s="2" t="s">
        <v>20</v>
      </c>
      <c r="G513" s="3">
        <v>53206</v>
      </c>
      <c r="H513" s="3">
        <v>14306</v>
      </c>
      <c r="I513" s="3">
        <v>20892</v>
      </c>
      <c r="J513" s="3">
        <v>142</v>
      </c>
      <c r="K513" s="3">
        <v>21</v>
      </c>
      <c r="L513" s="3">
        <v>36</v>
      </c>
      <c r="M513" s="3">
        <f t="shared" si="21"/>
        <v>199</v>
      </c>
      <c r="N513" s="4">
        <f t="shared" si="22"/>
        <v>1.3910247448622955E-2</v>
      </c>
      <c r="O513" s="4">
        <f t="shared" si="23"/>
        <v>0.26887944968612565</v>
      </c>
    </row>
    <row r="514" spans="1:15" x14ac:dyDescent="0.3">
      <c r="A514" s="2" t="s">
        <v>715</v>
      </c>
      <c r="B514" s="2" t="s">
        <v>716</v>
      </c>
      <c r="C514" s="2" t="s">
        <v>17</v>
      </c>
      <c r="D514" s="2" t="s">
        <v>33</v>
      </c>
      <c r="E514" s="2" t="s">
        <v>29</v>
      </c>
      <c r="F514" s="2" t="s">
        <v>25</v>
      </c>
      <c r="G514" s="3">
        <v>31863</v>
      </c>
      <c r="H514" s="3">
        <v>8541</v>
      </c>
      <c r="I514" s="3">
        <v>9981</v>
      </c>
      <c r="J514" s="3">
        <v>384</v>
      </c>
      <c r="K514" s="3">
        <v>43</v>
      </c>
      <c r="L514" s="3">
        <v>66</v>
      </c>
      <c r="M514" s="3">
        <f t="shared" ref="M514:M577" si="24">SUM(J514:L514)</f>
        <v>493</v>
      </c>
      <c r="N514" s="4">
        <f t="shared" ref="N514:N577" si="25">IFERROR(M514/H514,0)</f>
        <v>5.7721578269523476E-2</v>
      </c>
      <c r="O514" s="4">
        <f t="shared" ref="O514:O577" si="26">IFERROR(H514/G514,0)</f>
        <v>0.26805385556915545</v>
      </c>
    </row>
    <row r="515" spans="1:15" x14ac:dyDescent="0.3">
      <c r="A515" s="2" t="s">
        <v>717</v>
      </c>
      <c r="B515" s="2" t="s">
        <v>716</v>
      </c>
      <c r="C515" s="2" t="s">
        <v>55</v>
      </c>
      <c r="D515" s="2" t="s">
        <v>18</v>
      </c>
      <c r="E515" s="2" t="s">
        <v>34</v>
      </c>
      <c r="F515" s="2" t="s">
        <v>41</v>
      </c>
      <c r="G515" s="3">
        <v>23076</v>
      </c>
      <c r="H515" s="3">
        <v>6589</v>
      </c>
      <c r="I515" s="3">
        <v>9346</v>
      </c>
      <c r="J515" s="3">
        <v>142</v>
      </c>
      <c r="K515" s="3">
        <v>25</v>
      </c>
      <c r="L515" s="3">
        <v>46</v>
      </c>
      <c r="M515" s="3">
        <f t="shared" si="24"/>
        <v>213</v>
      </c>
      <c r="N515" s="4">
        <f t="shared" si="25"/>
        <v>3.2326604947640003E-2</v>
      </c>
      <c r="O515" s="4">
        <f t="shared" si="26"/>
        <v>0.2855347547235223</v>
      </c>
    </row>
    <row r="516" spans="1:15" x14ac:dyDescent="0.3">
      <c r="A516" s="2" t="s">
        <v>718</v>
      </c>
      <c r="B516" s="2" t="s">
        <v>716</v>
      </c>
      <c r="C516" s="2" t="s">
        <v>83</v>
      </c>
      <c r="D516" s="2" t="s">
        <v>23</v>
      </c>
      <c r="E516" s="2" t="s">
        <v>29</v>
      </c>
      <c r="F516" s="2" t="s">
        <v>20</v>
      </c>
      <c r="G516" s="3">
        <v>39125</v>
      </c>
      <c r="H516" s="3">
        <v>6244</v>
      </c>
      <c r="I516" s="3">
        <v>8094</v>
      </c>
      <c r="J516" s="3">
        <v>107</v>
      </c>
      <c r="K516" s="3">
        <v>13</v>
      </c>
      <c r="L516" s="3">
        <v>29</v>
      </c>
      <c r="M516" s="3">
        <f t="shared" si="24"/>
        <v>149</v>
      </c>
      <c r="N516" s="4">
        <f t="shared" si="25"/>
        <v>2.3862908392056376E-2</v>
      </c>
      <c r="O516" s="4">
        <f t="shared" si="26"/>
        <v>0.15959105431309903</v>
      </c>
    </row>
    <row r="517" spans="1:15" x14ac:dyDescent="0.3">
      <c r="A517" s="2" t="s">
        <v>719</v>
      </c>
      <c r="B517" s="2" t="s">
        <v>716</v>
      </c>
      <c r="C517" s="2" t="s">
        <v>17</v>
      </c>
      <c r="D517" s="2" t="s">
        <v>50</v>
      </c>
      <c r="E517" s="2" t="s">
        <v>19</v>
      </c>
      <c r="F517" s="2" t="s">
        <v>20</v>
      </c>
      <c r="G517" s="3">
        <v>12644</v>
      </c>
      <c r="H517" s="3">
        <v>3124</v>
      </c>
      <c r="I517" s="3">
        <v>3938</v>
      </c>
      <c r="J517" s="3">
        <v>99</v>
      </c>
      <c r="K517" s="3">
        <v>18</v>
      </c>
      <c r="L517" s="3">
        <v>19</v>
      </c>
      <c r="M517" s="3">
        <f t="shared" si="24"/>
        <v>136</v>
      </c>
      <c r="N517" s="4">
        <f t="shared" si="25"/>
        <v>4.353393085787452E-2</v>
      </c>
      <c r="O517" s="4">
        <f t="shared" si="26"/>
        <v>0.24707371085099653</v>
      </c>
    </row>
    <row r="518" spans="1:15" x14ac:dyDescent="0.3">
      <c r="A518" s="2" t="s">
        <v>720</v>
      </c>
      <c r="B518" s="2" t="s">
        <v>721</v>
      </c>
      <c r="C518" s="2" t="s">
        <v>39</v>
      </c>
      <c r="D518" s="2" t="s">
        <v>18</v>
      </c>
      <c r="E518" s="2" t="s">
        <v>46</v>
      </c>
      <c r="F518" s="2" t="s">
        <v>25</v>
      </c>
      <c r="G518" s="3">
        <v>23205</v>
      </c>
      <c r="H518" s="3">
        <v>4335</v>
      </c>
      <c r="I518" s="3">
        <v>5443</v>
      </c>
      <c r="J518" s="3">
        <v>116</v>
      </c>
      <c r="K518" s="3">
        <v>20</v>
      </c>
      <c r="L518" s="3">
        <v>11</v>
      </c>
      <c r="M518" s="3">
        <f t="shared" si="24"/>
        <v>147</v>
      </c>
      <c r="N518" s="4">
        <f t="shared" si="25"/>
        <v>3.3910034602076124E-2</v>
      </c>
      <c r="O518" s="4">
        <f t="shared" si="26"/>
        <v>0.18681318681318682</v>
      </c>
    </row>
    <row r="519" spans="1:15" x14ac:dyDescent="0.3">
      <c r="A519" s="2" t="s">
        <v>722</v>
      </c>
      <c r="B519" s="2" t="s">
        <v>721</v>
      </c>
      <c r="C519" s="2" t="s">
        <v>49</v>
      </c>
      <c r="D519" s="2" t="s">
        <v>23</v>
      </c>
      <c r="E519" s="2" t="s">
        <v>40</v>
      </c>
      <c r="F519" s="2" t="s">
        <v>67</v>
      </c>
      <c r="G519" s="3">
        <v>39809</v>
      </c>
      <c r="H519" s="3">
        <v>5382</v>
      </c>
      <c r="I519" s="3">
        <v>8970</v>
      </c>
      <c r="J519" s="3">
        <v>265</v>
      </c>
      <c r="K519" s="3">
        <v>39</v>
      </c>
      <c r="L519" s="3">
        <v>95</v>
      </c>
      <c r="M519" s="3">
        <f t="shared" si="24"/>
        <v>399</v>
      </c>
      <c r="N519" s="4">
        <f t="shared" si="25"/>
        <v>7.4136008918617616E-2</v>
      </c>
      <c r="O519" s="4">
        <f t="shared" si="26"/>
        <v>0.13519555879323772</v>
      </c>
    </row>
    <row r="520" spans="1:15" x14ac:dyDescent="0.3">
      <c r="A520" s="2" t="s">
        <v>723</v>
      </c>
      <c r="B520" s="2" t="s">
        <v>721</v>
      </c>
      <c r="C520" s="2" t="s">
        <v>39</v>
      </c>
      <c r="D520" s="2" t="s">
        <v>23</v>
      </c>
      <c r="E520" s="2" t="s">
        <v>24</v>
      </c>
      <c r="F520" s="2" t="s">
        <v>67</v>
      </c>
      <c r="G520" s="3">
        <v>40236</v>
      </c>
      <c r="H520" s="3">
        <v>5509</v>
      </c>
      <c r="I520" s="3">
        <v>6900</v>
      </c>
      <c r="J520" s="3">
        <v>82</v>
      </c>
      <c r="K520" s="3">
        <v>17</v>
      </c>
      <c r="L520" s="3">
        <v>21</v>
      </c>
      <c r="M520" s="3">
        <f t="shared" si="24"/>
        <v>120</v>
      </c>
      <c r="N520" s="4">
        <f t="shared" si="25"/>
        <v>2.1782537665638046E-2</v>
      </c>
      <c r="O520" s="4">
        <f t="shared" si="26"/>
        <v>0.13691718858733473</v>
      </c>
    </row>
    <row r="521" spans="1:15" x14ac:dyDescent="0.3">
      <c r="A521" s="2" t="s">
        <v>724</v>
      </c>
      <c r="B521" s="2" t="s">
        <v>721</v>
      </c>
      <c r="C521" s="2" t="s">
        <v>43</v>
      </c>
      <c r="D521" s="2" t="s">
        <v>50</v>
      </c>
      <c r="E521" s="2" t="s">
        <v>46</v>
      </c>
      <c r="F521" s="2" t="s">
        <v>47</v>
      </c>
      <c r="G521" s="3">
        <v>12803</v>
      </c>
      <c r="H521" s="3">
        <v>3736</v>
      </c>
      <c r="I521" s="3">
        <v>4173</v>
      </c>
      <c r="J521" s="3">
        <v>60</v>
      </c>
      <c r="K521" s="3">
        <v>10</v>
      </c>
      <c r="L521" s="3">
        <v>9</v>
      </c>
      <c r="M521" s="3">
        <f t="shared" si="24"/>
        <v>79</v>
      </c>
      <c r="N521" s="4">
        <f t="shared" si="25"/>
        <v>2.1145610278372591E-2</v>
      </c>
      <c r="O521" s="4">
        <f t="shared" si="26"/>
        <v>0.2918066078262907</v>
      </c>
    </row>
    <row r="522" spans="1:15" x14ac:dyDescent="0.3">
      <c r="A522" s="2" t="s">
        <v>725</v>
      </c>
      <c r="B522" s="2" t="s">
        <v>721</v>
      </c>
      <c r="C522" s="2" t="s">
        <v>52</v>
      </c>
      <c r="D522" s="2" t="s">
        <v>28</v>
      </c>
      <c r="E522" s="2" t="s">
        <v>46</v>
      </c>
      <c r="F522" s="2" t="s">
        <v>47</v>
      </c>
      <c r="G522" s="3">
        <v>54537</v>
      </c>
      <c r="H522" s="3">
        <v>13682</v>
      </c>
      <c r="I522" s="3">
        <v>21058</v>
      </c>
      <c r="J522" s="3">
        <v>199</v>
      </c>
      <c r="K522" s="3">
        <v>27</v>
      </c>
      <c r="L522" s="3">
        <v>39</v>
      </c>
      <c r="M522" s="3">
        <f t="shared" si="24"/>
        <v>265</v>
      </c>
      <c r="N522" s="4">
        <f t="shared" si="25"/>
        <v>1.9368513375237539E-2</v>
      </c>
      <c r="O522" s="4">
        <f t="shared" si="26"/>
        <v>0.25087555237728515</v>
      </c>
    </row>
    <row r="523" spans="1:15" x14ac:dyDescent="0.3">
      <c r="A523" s="2" t="s">
        <v>726</v>
      </c>
      <c r="B523" s="2" t="s">
        <v>727</v>
      </c>
      <c r="C523" s="2" t="s">
        <v>55</v>
      </c>
      <c r="D523" s="2" t="s">
        <v>33</v>
      </c>
      <c r="E523" s="2" t="s">
        <v>24</v>
      </c>
      <c r="F523" s="2" t="s">
        <v>25</v>
      </c>
      <c r="G523" s="3">
        <v>31963</v>
      </c>
      <c r="H523" s="3">
        <v>6452</v>
      </c>
      <c r="I523" s="3">
        <v>11075</v>
      </c>
      <c r="J523" s="3">
        <v>142</v>
      </c>
      <c r="K523" s="3">
        <v>31</v>
      </c>
      <c r="L523" s="3">
        <v>44</v>
      </c>
      <c r="M523" s="3">
        <f t="shared" si="24"/>
        <v>217</v>
      </c>
      <c r="N523" s="4">
        <f t="shared" si="25"/>
        <v>3.3632982021078735E-2</v>
      </c>
      <c r="O523" s="4">
        <f t="shared" si="26"/>
        <v>0.20185839877358194</v>
      </c>
    </row>
    <row r="524" spans="1:15" x14ac:dyDescent="0.3">
      <c r="A524" s="2" t="s">
        <v>728</v>
      </c>
      <c r="B524" s="2" t="s">
        <v>727</v>
      </c>
      <c r="C524" s="2" t="s">
        <v>17</v>
      </c>
      <c r="D524" s="2" t="s">
        <v>18</v>
      </c>
      <c r="E524" s="2" t="s">
        <v>40</v>
      </c>
      <c r="F524" s="2" t="s">
        <v>79</v>
      </c>
      <c r="G524" s="3">
        <v>23441</v>
      </c>
      <c r="H524" s="3">
        <v>2535</v>
      </c>
      <c r="I524" s="3">
        <v>3438</v>
      </c>
      <c r="J524" s="3">
        <v>135</v>
      </c>
      <c r="K524" s="3">
        <v>18</v>
      </c>
      <c r="L524" s="3">
        <v>26</v>
      </c>
      <c r="M524" s="3">
        <f t="shared" si="24"/>
        <v>179</v>
      </c>
      <c r="N524" s="4">
        <f t="shared" si="25"/>
        <v>7.0611439842209078E-2</v>
      </c>
      <c r="O524" s="4">
        <f t="shared" si="26"/>
        <v>0.10814385051832259</v>
      </c>
    </row>
    <row r="525" spans="1:15" x14ac:dyDescent="0.3">
      <c r="A525" s="2" t="s">
        <v>729</v>
      </c>
      <c r="B525" s="2" t="s">
        <v>727</v>
      </c>
      <c r="C525" s="2" t="s">
        <v>17</v>
      </c>
      <c r="D525" s="2" t="s">
        <v>18</v>
      </c>
      <c r="E525" s="2" t="s">
        <v>19</v>
      </c>
      <c r="F525" s="2" t="s">
        <v>79</v>
      </c>
      <c r="G525" s="3">
        <v>23228</v>
      </c>
      <c r="H525" s="3">
        <v>2850</v>
      </c>
      <c r="I525" s="3">
        <v>4089</v>
      </c>
      <c r="J525" s="3">
        <v>156</v>
      </c>
      <c r="K525" s="3">
        <v>30</v>
      </c>
      <c r="L525" s="3">
        <v>26</v>
      </c>
      <c r="M525" s="3">
        <f t="shared" si="24"/>
        <v>212</v>
      </c>
      <c r="N525" s="4">
        <f t="shared" si="25"/>
        <v>7.4385964912280708E-2</v>
      </c>
      <c r="O525" s="4">
        <f t="shared" si="26"/>
        <v>0.12269674530738764</v>
      </c>
    </row>
    <row r="526" spans="1:15" x14ac:dyDescent="0.3">
      <c r="A526" s="2" t="s">
        <v>730</v>
      </c>
      <c r="B526" s="2" t="s">
        <v>727</v>
      </c>
      <c r="C526" s="2" t="s">
        <v>73</v>
      </c>
      <c r="D526" s="2" t="s">
        <v>28</v>
      </c>
      <c r="E526" s="2" t="s">
        <v>24</v>
      </c>
      <c r="F526" s="2" t="s">
        <v>41</v>
      </c>
      <c r="G526" s="3">
        <v>53688</v>
      </c>
      <c r="H526" s="3">
        <v>15633</v>
      </c>
      <c r="I526" s="3">
        <v>20974</v>
      </c>
      <c r="J526" s="3">
        <v>293</v>
      </c>
      <c r="K526" s="3">
        <v>25</v>
      </c>
      <c r="L526" s="3">
        <v>85</v>
      </c>
      <c r="M526" s="3">
        <f t="shared" si="24"/>
        <v>403</v>
      </c>
      <c r="N526" s="4">
        <f t="shared" si="25"/>
        <v>2.5778801253758078E-2</v>
      </c>
      <c r="O526" s="4">
        <f t="shared" si="26"/>
        <v>0.29118238712561467</v>
      </c>
    </row>
    <row r="527" spans="1:15" x14ac:dyDescent="0.3">
      <c r="A527" s="2" t="s">
        <v>731</v>
      </c>
      <c r="B527" s="2" t="s">
        <v>732</v>
      </c>
      <c r="C527" s="2" t="s">
        <v>64</v>
      </c>
      <c r="D527" s="2" t="s">
        <v>33</v>
      </c>
      <c r="E527" s="2" t="s">
        <v>29</v>
      </c>
      <c r="F527" s="2" t="s">
        <v>47</v>
      </c>
      <c r="G527" s="3">
        <v>31797</v>
      </c>
      <c r="H527" s="3">
        <v>12590</v>
      </c>
      <c r="I527" s="3">
        <v>22180</v>
      </c>
      <c r="J527" s="3">
        <v>613</v>
      </c>
      <c r="K527" s="3">
        <v>43</v>
      </c>
      <c r="L527" s="3">
        <v>120</v>
      </c>
      <c r="M527" s="3">
        <f t="shared" si="24"/>
        <v>776</v>
      </c>
      <c r="N527" s="4">
        <f t="shared" si="25"/>
        <v>6.1636219221604449E-2</v>
      </c>
      <c r="O527" s="4">
        <f t="shared" si="26"/>
        <v>0.3959493033934019</v>
      </c>
    </row>
    <row r="528" spans="1:15" x14ac:dyDescent="0.3">
      <c r="A528" s="2" t="s">
        <v>733</v>
      </c>
      <c r="B528" s="2" t="s">
        <v>732</v>
      </c>
      <c r="C528" s="2" t="s">
        <v>17</v>
      </c>
      <c r="D528" s="2" t="s">
        <v>18</v>
      </c>
      <c r="E528" s="2" t="s">
        <v>19</v>
      </c>
      <c r="F528" s="2" t="s">
        <v>35</v>
      </c>
      <c r="G528" s="3">
        <v>23938</v>
      </c>
      <c r="H528" s="3">
        <v>2762</v>
      </c>
      <c r="I528" s="3">
        <v>3356</v>
      </c>
      <c r="J528" s="3">
        <v>47</v>
      </c>
      <c r="K528" s="3">
        <v>4</v>
      </c>
      <c r="L528" s="3">
        <v>20</v>
      </c>
      <c r="M528" s="3">
        <f t="shared" si="24"/>
        <v>71</v>
      </c>
      <c r="N528" s="4">
        <f t="shared" si="25"/>
        <v>2.5706010137581461E-2</v>
      </c>
      <c r="O528" s="4">
        <f t="shared" si="26"/>
        <v>0.11538140195505055</v>
      </c>
    </row>
    <row r="529" spans="1:15" x14ac:dyDescent="0.3">
      <c r="A529" s="2" t="s">
        <v>734</v>
      </c>
      <c r="B529" s="2" t="s">
        <v>732</v>
      </c>
      <c r="C529" s="2" t="s">
        <v>52</v>
      </c>
      <c r="D529" s="2" t="s">
        <v>23</v>
      </c>
      <c r="E529" s="2" t="s">
        <v>29</v>
      </c>
      <c r="F529" s="2" t="s">
        <v>41</v>
      </c>
      <c r="G529" s="3">
        <v>40791</v>
      </c>
      <c r="H529" s="3">
        <v>6355</v>
      </c>
      <c r="I529" s="3">
        <v>7577</v>
      </c>
      <c r="J529" s="3">
        <v>166</v>
      </c>
      <c r="K529" s="3">
        <v>26</v>
      </c>
      <c r="L529" s="3">
        <v>41</v>
      </c>
      <c r="M529" s="3">
        <f t="shared" si="24"/>
        <v>233</v>
      </c>
      <c r="N529" s="4">
        <f t="shared" si="25"/>
        <v>3.6664044059795439E-2</v>
      </c>
      <c r="O529" s="4">
        <f t="shared" si="26"/>
        <v>0.15579417028266038</v>
      </c>
    </row>
    <row r="530" spans="1:15" x14ac:dyDescent="0.3">
      <c r="A530" s="2" t="s">
        <v>735</v>
      </c>
      <c r="B530" s="2" t="s">
        <v>732</v>
      </c>
      <c r="C530" s="2" t="s">
        <v>27</v>
      </c>
      <c r="D530" s="2" t="s">
        <v>50</v>
      </c>
      <c r="E530" s="2" t="s">
        <v>19</v>
      </c>
      <c r="F530" s="2" t="s">
        <v>79</v>
      </c>
      <c r="G530" s="3">
        <v>12612</v>
      </c>
      <c r="H530" s="3">
        <v>2507</v>
      </c>
      <c r="I530" s="3">
        <v>3891</v>
      </c>
      <c r="J530" s="3">
        <v>70</v>
      </c>
      <c r="K530" s="3">
        <v>11</v>
      </c>
      <c r="L530" s="3">
        <v>15</v>
      </c>
      <c r="M530" s="3">
        <f t="shared" si="24"/>
        <v>96</v>
      </c>
      <c r="N530" s="4">
        <f t="shared" si="25"/>
        <v>3.8292780215396886E-2</v>
      </c>
      <c r="O530" s="4">
        <f t="shared" si="26"/>
        <v>0.198778940691405</v>
      </c>
    </row>
    <row r="531" spans="1:15" x14ac:dyDescent="0.3">
      <c r="A531" s="2" t="s">
        <v>736</v>
      </c>
      <c r="B531" s="2" t="s">
        <v>732</v>
      </c>
      <c r="C531" s="2" t="s">
        <v>52</v>
      </c>
      <c r="D531" s="2" t="s">
        <v>50</v>
      </c>
      <c r="E531" s="2" t="s">
        <v>40</v>
      </c>
      <c r="F531" s="2" t="s">
        <v>47</v>
      </c>
      <c r="G531" s="3">
        <v>12558</v>
      </c>
      <c r="H531" s="3">
        <v>1888</v>
      </c>
      <c r="I531" s="3">
        <v>3120</v>
      </c>
      <c r="J531" s="3">
        <v>46</v>
      </c>
      <c r="K531" s="3">
        <v>6</v>
      </c>
      <c r="L531" s="3">
        <v>16</v>
      </c>
      <c r="M531" s="3">
        <f t="shared" si="24"/>
        <v>68</v>
      </c>
      <c r="N531" s="4">
        <f t="shared" si="25"/>
        <v>3.6016949152542374E-2</v>
      </c>
      <c r="O531" s="4">
        <f t="shared" si="26"/>
        <v>0.15034241121197642</v>
      </c>
    </row>
    <row r="532" spans="1:15" x14ac:dyDescent="0.3">
      <c r="A532" s="2" t="s">
        <v>737</v>
      </c>
      <c r="B532" s="2" t="s">
        <v>738</v>
      </c>
      <c r="C532" s="2" t="s">
        <v>55</v>
      </c>
      <c r="D532" s="2" t="s">
        <v>33</v>
      </c>
      <c r="E532" s="2" t="s">
        <v>40</v>
      </c>
      <c r="F532" s="2" t="s">
        <v>20</v>
      </c>
      <c r="G532" s="3">
        <v>31838</v>
      </c>
      <c r="H532" s="3">
        <v>7113</v>
      </c>
      <c r="I532" s="3">
        <v>10489</v>
      </c>
      <c r="J532" s="3">
        <v>178</v>
      </c>
      <c r="K532" s="3">
        <v>31</v>
      </c>
      <c r="L532" s="3">
        <v>55</v>
      </c>
      <c r="M532" s="3">
        <f t="shared" si="24"/>
        <v>264</v>
      </c>
      <c r="N532" s="4">
        <f t="shared" si="25"/>
        <v>3.7115141290594685E-2</v>
      </c>
      <c r="O532" s="4">
        <f t="shared" si="26"/>
        <v>0.22341227464036686</v>
      </c>
    </row>
    <row r="533" spans="1:15" x14ac:dyDescent="0.3">
      <c r="A533" s="2" t="s">
        <v>739</v>
      </c>
      <c r="B533" s="2" t="s">
        <v>738</v>
      </c>
      <c r="C533" s="2" t="s">
        <v>22</v>
      </c>
      <c r="D533" s="2" t="s">
        <v>23</v>
      </c>
      <c r="E533" s="2" t="s">
        <v>29</v>
      </c>
      <c r="F533" s="2" t="s">
        <v>20</v>
      </c>
      <c r="G533" s="3">
        <v>40000</v>
      </c>
      <c r="H533" s="3">
        <v>5270</v>
      </c>
      <c r="I533" s="3">
        <v>6553</v>
      </c>
      <c r="J533" s="3">
        <v>221</v>
      </c>
      <c r="K533" s="3">
        <v>43</v>
      </c>
      <c r="L533" s="3">
        <v>32</v>
      </c>
      <c r="M533" s="3">
        <f t="shared" si="24"/>
        <v>296</v>
      </c>
      <c r="N533" s="4">
        <f t="shared" si="25"/>
        <v>5.6166982922201139E-2</v>
      </c>
      <c r="O533" s="4">
        <f t="shared" si="26"/>
        <v>0.13175000000000001</v>
      </c>
    </row>
    <row r="534" spans="1:15" x14ac:dyDescent="0.3">
      <c r="A534" s="2" t="s">
        <v>740</v>
      </c>
      <c r="B534" s="2" t="s">
        <v>738</v>
      </c>
      <c r="C534" s="2" t="s">
        <v>22</v>
      </c>
      <c r="D534" s="2" t="s">
        <v>23</v>
      </c>
      <c r="E534" s="2" t="s">
        <v>29</v>
      </c>
      <c r="F534" s="2" t="s">
        <v>47</v>
      </c>
      <c r="G534" s="3">
        <v>40159</v>
      </c>
      <c r="H534" s="3">
        <v>4126</v>
      </c>
      <c r="I534" s="3">
        <v>5409</v>
      </c>
      <c r="J534" s="3">
        <v>198</v>
      </c>
      <c r="K534" s="3">
        <v>27</v>
      </c>
      <c r="L534" s="3">
        <v>54</v>
      </c>
      <c r="M534" s="3">
        <f t="shared" si="24"/>
        <v>279</v>
      </c>
      <c r="N534" s="4">
        <f t="shared" si="25"/>
        <v>6.7619970916141539E-2</v>
      </c>
      <c r="O534" s="4">
        <f t="shared" si="26"/>
        <v>0.10274160213152718</v>
      </c>
    </row>
    <row r="535" spans="1:15" x14ac:dyDescent="0.3">
      <c r="A535" s="2" t="s">
        <v>741</v>
      </c>
      <c r="B535" s="2" t="s">
        <v>742</v>
      </c>
      <c r="C535" s="2" t="s">
        <v>45</v>
      </c>
      <c r="D535" s="2" t="s">
        <v>33</v>
      </c>
      <c r="E535" s="2" t="s">
        <v>24</v>
      </c>
      <c r="F535" s="2" t="s">
        <v>79</v>
      </c>
      <c r="G535" s="3">
        <v>31919</v>
      </c>
      <c r="H535" s="3">
        <v>8292</v>
      </c>
      <c r="I535" s="3">
        <v>14321</v>
      </c>
      <c r="J535" s="3">
        <v>326</v>
      </c>
      <c r="K535" s="3">
        <v>47</v>
      </c>
      <c r="L535" s="3">
        <v>35</v>
      </c>
      <c r="M535" s="3">
        <f t="shared" si="24"/>
        <v>408</v>
      </c>
      <c r="N535" s="4">
        <f t="shared" si="25"/>
        <v>4.9204052098408106E-2</v>
      </c>
      <c r="O535" s="4">
        <f t="shared" si="26"/>
        <v>0.25978257464206272</v>
      </c>
    </row>
    <row r="536" spans="1:15" x14ac:dyDescent="0.3">
      <c r="A536" s="2" t="s">
        <v>743</v>
      </c>
      <c r="B536" s="2" t="s">
        <v>742</v>
      </c>
      <c r="C536" s="2" t="s">
        <v>39</v>
      </c>
      <c r="D536" s="2" t="s">
        <v>50</v>
      </c>
      <c r="E536" s="2" t="s">
        <v>40</v>
      </c>
      <c r="F536" s="2" t="s">
        <v>67</v>
      </c>
      <c r="G536" s="3">
        <v>12509</v>
      </c>
      <c r="H536" s="3">
        <v>3086</v>
      </c>
      <c r="I536" s="3">
        <v>4060</v>
      </c>
      <c r="J536" s="3">
        <v>141</v>
      </c>
      <c r="K536" s="3">
        <v>11</v>
      </c>
      <c r="L536" s="3">
        <v>46</v>
      </c>
      <c r="M536" s="3">
        <f t="shared" si="24"/>
        <v>198</v>
      </c>
      <c r="N536" s="4">
        <f t="shared" si="25"/>
        <v>6.416072585871678E-2</v>
      </c>
      <c r="O536" s="4">
        <f t="shared" si="26"/>
        <v>0.24670237429051084</v>
      </c>
    </row>
    <row r="537" spans="1:15" x14ac:dyDescent="0.3">
      <c r="A537" s="2" t="s">
        <v>744</v>
      </c>
      <c r="B537" s="2" t="s">
        <v>742</v>
      </c>
      <c r="C537" s="2" t="s">
        <v>55</v>
      </c>
      <c r="D537" s="2" t="s">
        <v>50</v>
      </c>
      <c r="E537" s="2" t="s">
        <v>24</v>
      </c>
      <c r="F537" s="2" t="s">
        <v>25</v>
      </c>
      <c r="G537" s="3">
        <v>12735</v>
      </c>
      <c r="H537" s="3">
        <v>2178</v>
      </c>
      <c r="I537" s="3">
        <v>3822</v>
      </c>
      <c r="J537" s="3">
        <v>32</v>
      </c>
      <c r="K537" s="3">
        <v>4</v>
      </c>
      <c r="L537" s="3">
        <v>8</v>
      </c>
      <c r="M537" s="3">
        <f t="shared" si="24"/>
        <v>44</v>
      </c>
      <c r="N537" s="4">
        <f t="shared" si="25"/>
        <v>2.0202020202020204E-2</v>
      </c>
      <c r="O537" s="4">
        <f t="shared" si="26"/>
        <v>0.17102473498233214</v>
      </c>
    </row>
    <row r="538" spans="1:15" x14ac:dyDescent="0.3">
      <c r="A538" s="2" t="s">
        <v>745</v>
      </c>
      <c r="B538" s="2" t="s">
        <v>746</v>
      </c>
      <c r="C538" s="2" t="s">
        <v>83</v>
      </c>
      <c r="D538" s="2" t="s">
        <v>18</v>
      </c>
      <c r="E538" s="2" t="s">
        <v>24</v>
      </c>
      <c r="F538" s="2" t="s">
        <v>67</v>
      </c>
      <c r="G538" s="3">
        <v>23991</v>
      </c>
      <c r="H538" s="3">
        <v>4131</v>
      </c>
      <c r="I538" s="3">
        <v>4971</v>
      </c>
      <c r="J538" s="3">
        <v>122</v>
      </c>
      <c r="K538" s="3">
        <v>13</v>
      </c>
      <c r="L538" s="3">
        <v>38</v>
      </c>
      <c r="M538" s="3">
        <f t="shared" si="24"/>
        <v>173</v>
      </c>
      <c r="N538" s="4">
        <f t="shared" si="25"/>
        <v>4.1878479786976522E-2</v>
      </c>
      <c r="O538" s="4">
        <f t="shared" si="26"/>
        <v>0.17218957108915844</v>
      </c>
    </row>
    <row r="539" spans="1:15" x14ac:dyDescent="0.3">
      <c r="A539" s="2" t="s">
        <v>747</v>
      </c>
      <c r="B539" s="2" t="s">
        <v>746</v>
      </c>
      <c r="C539" s="2" t="s">
        <v>43</v>
      </c>
      <c r="D539" s="2" t="s">
        <v>23</v>
      </c>
      <c r="E539" s="2" t="s">
        <v>24</v>
      </c>
      <c r="F539" s="2" t="s">
        <v>30</v>
      </c>
      <c r="G539" s="3">
        <v>39749</v>
      </c>
      <c r="H539" s="3">
        <v>8120</v>
      </c>
      <c r="I539" s="3">
        <v>13146</v>
      </c>
      <c r="J539" s="3">
        <v>147</v>
      </c>
      <c r="K539" s="3">
        <v>26</v>
      </c>
      <c r="L539" s="3">
        <v>45</v>
      </c>
      <c r="M539" s="3">
        <f t="shared" si="24"/>
        <v>218</v>
      </c>
      <c r="N539" s="4">
        <f t="shared" si="25"/>
        <v>2.6847290640394088E-2</v>
      </c>
      <c r="O539" s="4">
        <f t="shared" si="26"/>
        <v>0.20428186872625725</v>
      </c>
    </row>
    <row r="540" spans="1:15" x14ac:dyDescent="0.3">
      <c r="A540" s="2" t="s">
        <v>748</v>
      </c>
      <c r="B540" s="2" t="s">
        <v>746</v>
      </c>
      <c r="C540" s="2" t="s">
        <v>43</v>
      </c>
      <c r="D540" s="2" t="s">
        <v>28</v>
      </c>
      <c r="E540" s="2" t="s">
        <v>24</v>
      </c>
      <c r="F540" s="2" t="s">
        <v>30</v>
      </c>
      <c r="G540" s="3">
        <v>53697</v>
      </c>
      <c r="H540" s="3">
        <v>24007</v>
      </c>
      <c r="I540" s="3">
        <v>43017</v>
      </c>
      <c r="J540" s="3">
        <v>572</v>
      </c>
      <c r="K540" s="3">
        <v>79</v>
      </c>
      <c r="L540" s="3">
        <v>74</v>
      </c>
      <c r="M540" s="3">
        <f t="shared" si="24"/>
        <v>725</v>
      </c>
      <c r="N540" s="4">
        <f t="shared" si="25"/>
        <v>3.0199525138501271E-2</v>
      </c>
      <c r="O540" s="4">
        <f t="shared" si="26"/>
        <v>0.44708270480660001</v>
      </c>
    </row>
    <row r="541" spans="1:15" x14ac:dyDescent="0.3">
      <c r="A541" s="2" t="s">
        <v>749</v>
      </c>
      <c r="B541" s="2" t="s">
        <v>750</v>
      </c>
      <c r="C541" s="2" t="s">
        <v>52</v>
      </c>
      <c r="D541" s="2" t="s">
        <v>33</v>
      </c>
      <c r="E541" s="2" t="s">
        <v>29</v>
      </c>
      <c r="F541" s="2" t="s">
        <v>41</v>
      </c>
      <c r="G541" s="3">
        <v>31406</v>
      </c>
      <c r="H541" s="3">
        <v>9571</v>
      </c>
      <c r="I541" s="3">
        <v>14332</v>
      </c>
      <c r="J541" s="3">
        <v>438</v>
      </c>
      <c r="K541" s="3">
        <v>85</v>
      </c>
      <c r="L541" s="3">
        <v>122</v>
      </c>
      <c r="M541" s="3">
        <f t="shared" si="24"/>
        <v>645</v>
      </c>
      <c r="N541" s="4">
        <f t="shared" si="25"/>
        <v>6.7391077212412498E-2</v>
      </c>
      <c r="O541" s="4">
        <f t="shared" si="26"/>
        <v>0.30475068458256382</v>
      </c>
    </row>
    <row r="542" spans="1:15" x14ac:dyDescent="0.3">
      <c r="A542" s="2" t="s">
        <v>751</v>
      </c>
      <c r="B542" s="2" t="s">
        <v>750</v>
      </c>
      <c r="C542" s="2" t="s">
        <v>55</v>
      </c>
      <c r="D542" s="2" t="s">
        <v>23</v>
      </c>
      <c r="E542" s="2" t="s">
        <v>24</v>
      </c>
      <c r="F542" s="2" t="s">
        <v>35</v>
      </c>
      <c r="G542" s="3">
        <v>40253</v>
      </c>
      <c r="H542" s="3">
        <v>7389</v>
      </c>
      <c r="I542" s="3">
        <v>9289</v>
      </c>
      <c r="J542" s="3">
        <v>175</v>
      </c>
      <c r="K542" s="3">
        <v>20</v>
      </c>
      <c r="L542" s="3">
        <v>66</v>
      </c>
      <c r="M542" s="3">
        <f t="shared" si="24"/>
        <v>261</v>
      </c>
      <c r="N542" s="4">
        <f t="shared" si="25"/>
        <v>3.5322777101096221E-2</v>
      </c>
      <c r="O542" s="4">
        <f t="shared" si="26"/>
        <v>0.18356395796586589</v>
      </c>
    </row>
    <row r="543" spans="1:15" x14ac:dyDescent="0.3">
      <c r="A543" s="2" t="s">
        <v>752</v>
      </c>
      <c r="B543" s="2" t="s">
        <v>750</v>
      </c>
      <c r="C543" s="2" t="s">
        <v>49</v>
      </c>
      <c r="D543" s="2" t="s">
        <v>28</v>
      </c>
      <c r="E543" s="2" t="s">
        <v>29</v>
      </c>
      <c r="F543" s="2" t="s">
        <v>41</v>
      </c>
      <c r="G543" s="3">
        <v>53849</v>
      </c>
      <c r="H543" s="3">
        <v>45201</v>
      </c>
      <c r="I543" s="3">
        <v>70122</v>
      </c>
      <c r="J543" s="3">
        <v>675</v>
      </c>
      <c r="K543" s="3">
        <v>87</v>
      </c>
      <c r="L543" s="3">
        <v>121</v>
      </c>
      <c r="M543" s="3">
        <f t="shared" si="24"/>
        <v>883</v>
      </c>
      <c r="N543" s="4">
        <f t="shared" si="25"/>
        <v>1.9534966040574323E-2</v>
      </c>
      <c r="O543" s="4">
        <f t="shared" si="26"/>
        <v>0.8394027744247804</v>
      </c>
    </row>
    <row r="544" spans="1:15" x14ac:dyDescent="0.3">
      <c r="A544" s="2" t="s">
        <v>753</v>
      </c>
      <c r="B544" s="2" t="s">
        <v>754</v>
      </c>
      <c r="C544" s="2" t="s">
        <v>52</v>
      </c>
      <c r="D544" s="2" t="s">
        <v>18</v>
      </c>
      <c r="E544" s="2" t="s">
        <v>40</v>
      </c>
      <c r="F544" s="2" t="s">
        <v>35</v>
      </c>
      <c r="G544" s="3">
        <v>23792</v>
      </c>
      <c r="H544" s="3">
        <v>4644</v>
      </c>
      <c r="I544" s="3">
        <v>7365</v>
      </c>
      <c r="J544" s="3">
        <v>109</v>
      </c>
      <c r="K544" s="3">
        <v>16</v>
      </c>
      <c r="L544" s="3">
        <v>26</v>
      </c>
      <c r="M544" s="3">
        <f t="shared" si="24"/>
        <v>151</v>
      </c>
      <c r="N544" s="4">
        <f t="shared" si="25"/>
        <v>3.2515073212747631E-2</v>
      </c>
      <c r="O544" s="4">
        <f t="shared" si="26"/>
        <v>0.19519166106254204</v>
      </c>
    </row>
    <row r="545" spans="1:15" x14ac:dyDescent="0.3">
      <c r="A545" s="2" t="s">
        <v>755</v>
      </c>
      <c r="B545" s="2" t="s">
        <v>754</v>
      </c>
      <c r="C545" s="2" t="s">
        <v>83</v>
      </c>
      <c r="D545" s="2" t="s">
        <v>23</v>
      </c>
      <c r="E545" s="2" t="s">
        <v>29</v>
      </c>
      <c r="F545" s="2" t="s">
        <v>47</v>
      </c>
      <c r="G545" s="3">
        <v>40928</v>
      </c>
      <c r="H545" s="3">
        <v>4050</v>
      </c>
      <c r="I545" s="3">
        <v>4917</v>
      </c>
      <c r="J545" s="3">
        <v>94</v>
      </c>
      <c r="K545" s="3">
        <v>18</v>
      </c>
      <c r="L545" s="3">
        <v>20</v>
      </c>
      <c r="M545" s="3">
        <f t="shared" si="24"/>
        <v>132</v>
      </c>
      <c r="N545" s="4">
        <f t="shared" si="25"/>
        <v>3.259259259259259E-2</v>
      </c>
      <c r="O545" s="4">
        <f t="shared" si="26"/>
        <v>9.8954261141516814E-2</v>
      </c>
    </row>
    <row r="546" spans="1:15" x14ac:dyDescent="0.3">
      <c r="A546" s="2" t="s">
        <v>756</v>
      </c>
      <c r="B546" s="2" t="s">
        <v>754</v>
      </c>
      <c r="C546" s="2" t="s">
        <v>45</v>
      </c>
      <c r="D546" s="2" t="s">
        <v>23</v>
      </c>
      <c r="E546" s="2" t="s">
        <v>34</v>
      </c>
      <c r="F546" s="2" t="s">
        <v>35</v>
      </c>
      <c r="G546" s="3">
        <v>39982</v>
      </c>
      <c r="H546" s="3">
        <v>6775</v>
      </c>
      <c r="I546" s="3">
        <v>7816</v>
      </c>
      <c r="J546" s="3">
        <v>119</v>
      </c>
      <c r="K546" s="3">
        <v>20</v>
      </c>
      <c r="L546" s="3">
        <v>21</v>
      </c>
      <c r="M546" s="3">
        <f t="shared" si="24"/>
        <v>160</v>
      </c>
      <c r="N546" s="4">
        <f t="shared" si="25"/>
        <v>2.3616236162361623E-2</v>
      </c>
      <c r="O546" s="4">
        <f t="shared" si="26"/>
        <v>0.16945125306387873</v>
      </c>
    </row>
    <row r="547" spans="1:15" x14ac:dyDescent="0.3">
      <c r="A547" s="2" t="s">
        <v>757</v>
      </c>
      <c r="B547" s="2" t="s">
        <v>754</v>
      </c>
      <c r="C547" s="2" t="s">
        <v>22</v>
      </c>
      <c r="D547" s="2" t="s">
        <v>28</v>
      </c>
      <c r="E547" s="2" t="s">
        <v>46</v>
      </c>
      <c r="F547" s="2" t="s">
        <v>35</v>
      </c>
      <c r="G547" s="3">
        <v>54125</v>
      </c>
      <c r="H547" s="3">
        <v>38086</v>
      </c>
      <c r="I547" s="3">
        <v>51559</v>
      </c>
      <c r="J547" s="3">
        <v>626</v>
      </c>
      <c r="K547" s="3">
        <v>57</v>
      </c>
      <c r="L547" s="3">
        <v>209</v>
      </c>
      <c r="M547" s="3">
        <f t="shared" si="24"/>
        <v>892</v>
      </c>
      <c r="N547" s="4">
        <f t="shared" si="25"/>
        <v>2.3420679514782335E-2</v>
      </c>
      <c r="O547" s="4">
        <f t="shared" si="26"/>
        <v>0.70366743648960739</v>
      </c>
    </row>
    <row r="548" spans="1:15" x14ac:dyDescent="0.3">
      <c r="A548" s="2" t="s">
        <v>758</v>
      </c>
      <c r="B548" s="2" t="s">
        <v>759</v>
      </c>
      <c r="C548" s="2" t="s">
        <v>27</v>
      </c>
      <c r="D548" s="2" t="s">
        <v>33</v>
      </c>
      <c r="E548" s="2" t="s">
        <v>40</v>
      </c>
      <c r="F548" s="2" t="s">
        <v>41</v>
      </c>
      <c r="G548" s="3">
        <v>31704</v>
      </c>
      <c r="H548" s="3">
        <v>13503</v>
      </c>
      <c r="I548" s="3">
        <v>15821</v>
      </c>
      <c r="J548" s="3">
        <v>323</v>
      </c>
      <c r="K548" s="3">
        <v>32</v>
      </c>
      <c r="L548" s="3">
        <v>119</v>
      </c>
      <c r="M548" s="3">
        <f t="shared" si="24"/>
        <v>474</v>
      </c>
      <c r="N548" s="4">
        <f t="shared" si="25"/>
        <v>3.5103310375472117E-2</v>
      </c>
      <c r="O548" s="4">
        <f t="shared" si="26"/>
        <v>0.42590840272520819</v>
      </c>
    </row>
    <row r="549" spans="1:15" x14ac:dyDescent="0.3">
      <c r="A549" s="2" t="s">
        <v>760</v>
      </c>
      <c r="B549" s="2" t="s">
        <v>759</v>
      </c>
      <c r="C549" s="2" t="s">
        <v>73</v>
      </c>
      <c r="D549" s="2" t="s">
        <v>50</v>
      </c>
      <c r="E549" s="2" t="s">
        <v>24</v>
      </c>
      <c r="F549" s="2" t="s">
        <v>30</v>
      </c>
      <c r="G549" s="3">
        <v>12721</v>
      </c>
      <c r="H549" s="3">
        <v>4206</v>
      </c>
      <c r="I549" s="3">
        <v>4969</v>
      </c>
      <c r="J549" s="3">
        <v>39</v>
      </c>
      <c r="K549" s="3">
        <v>5</v>
      </c>
      <c r="L549" s="3">
        <v>17</v>
      </c>
      <c r="M549" s="3">
        <f t="shared" si="24"/>
        <v>61</v>
      </c>
      <c r="N549" s="4">
        <f t="shared" si="25"/>
        <v>1.4503090822634332E-2</v>
      </c>
      <c r="O549" s="4">
        <f t="shared" si="26"/>
        <v>0.33063438408930118</v>
      </c>
    </row>
    <row r="550" spans="1:15" x14ac:dyDescent="0.3">
      <c r="A550" s="2" t="s">
        <v>761</v>
      </c>
      <c r="B550" s="2" t="s">
        <v>759</v>
      </c>
      <c r="C550" s="2" t="s">
        <v>73</v>
      </c>
      <c r="D550" s="2" t="s">
        <v>28</v>
      </c>
      <c r="E550" s="2" t="s">
        <v>24</v>
      </c>
      <c r="F550" s="2" t="s">
        <v>79</v>
      </c>
      <c r="G550" s="3">
        <v>53983</v>
      </c>
      <c r="H550" s="3">
        <v>24186</v>
      </c>
      <c r="I550" s="3">
        <v>39208</v>
      </c>
      <c r="J550" s="3">
        <v>230</v>
      </c>
      <c r="K550" s="3">
        <v>41</v>
      </c>
      <c r="L550" s="3">
        <v>73</v>
      </c>
      <c r="M550" s="3">
        <f t="shared" si="24"/>
        <v>344</v>
      </c>
      <c r="N550" s="4">
        <f t="shared" si="25"/>
        <v>1.4223104275200529E-2</v>
      </c>
      <c r="O550" s="4">
        <f t="shared" si="26"/>
        <v>0.44802993535001762</v>
      </c>
    </row>
    <row r="551" spans="1:15" x14ac:dyDescent="0.3">
      <c r="A551" s="2" t="s">
        <v>762</v>
      </c>
      <c r="B551" s="2" t="s">
        <v>763</v>
      </c>
      <c r="C551" s="2" t="s">
        <v>17</v>
      </c>
      <c r="D551" s="2" t="s">
        <v>33</v>
      </c>
      <c r="E551" s="2" t="s">
        <v>19</v>
      </c>
      <c r="F551" s="2" t="s">
        <v>30</v>
      </c>
      <c r="G551" s="3">
        <v>31856</v>
      </c>
      <c r="H551" s="3">
        <v>12296</v>
      </c>
      <c r="I551" s="3">
        <v>14487</v>
      </c>
      <c r="J551" s="3">
        <v>182</v>
      </c>
      <c r="K551" s="3">
        <v>23</v>
      </c>
      <c r="L551" s="3">
        <v>48</v>
      </c>
      <c r="M551" s="3">
        <f t="shared" si="24"/>
        <v>253</v>
      </c>
      <c r="N551" s="4">
        <f t="shared" si="25"/>
        <v>2.0575797007156799E-2</v>
      </c>
      <c r="O551" s="4">
        <f t="shared" si="26"/>
        <v>0.38598694123556004</v>
      </c>
    </row>
    <row r="552" spans="1:15" x14ac:dyDescent="0.3">
      <c r="A552" s="2" t="s">
        <v>764</v>
      </c>
      <c r="B552" s="2" t="s">
        <v>763</v>
      </c>
      <c r="C552" s="2" t="s">
        <v>55</v>
      </c>
      <c r="D552" s="2" t="s">
        <v>33</v>
      </c>
      <c r="E552" s="2" t="s">
        <v>34</v>
      </c>
      <c r="F552" s="2" t="s">
        <v>67</v>
      </c>
      <c r="G552" s="3">
        <v>32327</v>
      </c>
      <c r="H552" s="3">
        <v>10300</v>
      </c>
      <c r="I552" s="3">
        <v>11757</v>
      </c>
      <c r="J552" s="3">
        <v>143</v>
      </c>
      <c r="K552" s="3">
        <v>11</v>
      </c>
      <c r="L552" s="3">
        <v>55</v>
      </c>
      <c r="M552" s="3">
        <f t="shared" si="24"/>
        <v>209</v>
      </c>
      <c r="N552" s="4">
        <f t="shared" si="25"/>
        <v>2.029126213592233E-2</v>
      </c>
      <c r="O552" s="4">
        <f t="shared" si="26"/>
        <v>0.31861911095987872</v>
      </c>
    </row>
    <row r="553" spans="1:15" x14ac:dyDescent="0.3">
      <c r="A553" s="2" t="s">
        <v>765</v>
      </c>
      <c r="B553" s="2" t="s">
        <v>763</v>
      </c>
      <c r="C553" s="2" t="s">
        <v>52</v>
      </c>
      <c r="D553" s="2" t="s">
        <v>18</v>
      </c>
      <c r="E553" s="2" t="s">
        <v>34</v>
      </c>
      <c r="F553" s="2" t="s">
        <v>25</v>
      </c>
      <c r="G553" s="3">
        <v>23819</v>
      </c>
      <c r="H553" s="3">
        <v>3334</v>
      </c>
      <c r="I553" s="3">
        <v>5232</v>
      </c>
      <c r="J553" s="3">
        <v>36</v>
      </c>
      <c r="K553" s="3">
        <v>6</v>
      </c>
      <c r="L553" s="3">
        <v>12</v>
      </c>
      <c r="M553" s="3">
        <f t="shared" si="24"/>
        <v>54</v>
      </c>
      <c r="N553" s="4">
        <f t="shared" si="25"/>
        <v>1.6196760647870425E-2</v>
      </c>
      <c r="O553" s="4">
        <f t="shared" si="26"/>
        <v>0.1399722910281708</v>
      </c>
    </row>
    <row r="554" spans="1:15" x14ac:dyDescent="0.3">
      <c r="A554" s="2" t="s">
        <v>766</v>
      </c>
      <c r="B554" s="2" t="s">
        <v>763</v>
      </c>
      <c r="C554" s="2" t="s">
        <v>45</v>
      </c>
      <c r="D554" s="2" t="s">
        <v>18</v>
      </c>
      <c r="E554" s="2" t="s">
        <v>24</v>
      </c>
      <c r="F554" s="2" t="s">
        <v>79</v>
      </c>
      <c r="G554" s="3">
        <v>23596</v>
      </c>
      <c r="H554" s="3">
        <v>6395</v>
      </c>
      <c r="I554" s="3">
        <v>10529</v>
      </c>
      <c r="J554" s="3">
        <v>137</v>
      </c>
      <c r="K554" s="3">
        <v>10</v>
      </c>
      <c r="L554" s="3">
        <v>43</v>
      </c>
      <c r="M554" s="3">
        <f t="shared" si="24"/>
        <v>190</v>
      </c>
      <c r="N554" s="4">
        <f t="shared" si="25"/>
        <v>2.9710711493354185E-2</v>
      </c>
      <c r="O554" s="4">
        <f t="shared" si="26"/>
        <v>0.27102051195117816</v>
      </c>
    </row>
    <row r="555" spans="1:15" x14ac:dyDescent="0.3">
      <c r="A555" s="2" t="s">
        <v>767</v>
      </c>
      <c r="B555" s="2" t="s">
        <v>763</v>
      </c>
      <c r="C555" s="2" t="s">
        <v>73</v>
      </c>
      <c r="D555" s="2" t="s">
        <v>50</v>
      </c>
      <c r="E555" s="2" t="s">
        <v>29</v>
      </c>
      <c r="F555" s="2" t="s">
        <v>20</v>
      </c>
      <c r="G555" s="3">
        <v>12986</v>
      </c>
      <c r="H555" s="3">
        <v>3162</v>
      </c>
      <c r="I555" s="3">
        <v>5633</v>
      </c>
      <c r="J555" s="3">
        <v>49</v>
      </c>
      <c r="K555" s="3">
        <v>7</v>
      </c>
      <c r="L555" s="3">
        <v>17</v>
      </c>
      <c r="M555" s="3">
        <f t="shared" si="24"/>
        <v>73</v>
      </c>
      <c r="N555" s="4">
        <f t="shared" si="25"/>
        <v>2.3086654016445288E-2</v>
      </c>
      <c r="O555" s="4">
        <f t="shared" si="26"/>
        <v>0.24349299245341136</v>
      </c>
    </row>
    <row r="556" spans="1:15" x14ac:dyDescent="0.3">
      <c r="A556" s="2" t="s">
        <v>768</v>
      </c>
      <c r="B556" s="2" t="s">
        <v>763</v>
      </c>
      <c r="C556" s="2" t="s">
        <v>43</v>
      </c>
      <c r="D556" s="2" t="s">
        <v>28</v>
      </c>
      <c r="E556" s="2" t="s">
        <v>19</v>
      </c>
      <c r="F556" s="2" t="s">
        <v>47</v>
      </c>
      <c r="G556" s="3">
        <v>55156</v>
      </c>
      <c r="H556" s="3">
        <v>17636</v>
      </c>
      <c r="I556" s="3">
        <v>29704</v>
      </c>
      <c r="J556" s="3">
        <v>967</v>
      </c>
      <c r="K556" s="3">
        <v>137</v>
      </c>
      <c r="L556" s="3">
        <v>252</v>
      </c>
      <c r="M556" s="3">
        <f t="shared" si="24"/>
        <v>1356</v>
      </c>
      <c r="N556" s="4">
        <f t="shared" si="25"/>
        <v>7.6888183261510548E-2</v>
      </c>
      <c r="O556" s="4">
        <f t="shared" si="26"/>
        <v>0.31974762491841324</v>
      </c>
    </row>
    <row r="557" spans="1:15" x14ac:dyDescent="0.3">
      <c r="A557" s="2" t="s">
        <v>769</v>
      </c>
      <c r="B557" s="2" t="s">
        <v>770</v>
      </c>
      <c r="C557" s="2" t="s">
        <v>83</v>
      </c>
      <c r="D557" s="2" t="s">
        <v>33</v>
      </c>
      <c r="E557" s="2" t="s">
        <v>34</v>
      </c>
      <c r="F557" s="2" t="s">
        <v>47</v>
      </c>
      <c r="G557" s="3">
        <v>31498</v>
      </c>
      <c r="H557" s="3">
        <v>6825</v>
      </c>
      <c r="I557" s="3">
        <v>11149</v>
      </c>
      <c r="J557" s="3">
        <v>233</v>
      </c>
      <c r="K557" s="3">
        <v>17</v>
      </c>
      <c r="L557" s="3">
        <v>68</v>
      </c>
      <c r="M557" s="3">
        <f t="shared" si="24"/>
        <v>318</v>
      </c>
      <c r="N557" s="4">
        <f t="shared" si="25"/>
        <v>4.6593406593406592E-2</v>
      </c>
      <c r="O557" s="4">
        <f t="shared" si="26"/>
        <v>0.21668042415391453</v>
      </c>
    </row>
    <row r="558" spans="1:15" x14ac:dyDescent="0.3">
      <c r="A558" s="2" t="s">
        <v>771</v>
      </c>
      <c r="B558" s="2" t="s">
        <v>770</v>
      </c>
      <c r="C558" s="2" t="s">
        <v>49</v>
      </c>
      <c r="D558" s="2" t="s">
        <v>18</v>
      </c>
      <c r="E558" s="2" t="s">
        <v>40</v>
      </c>
      <c r="F558" s="2" t="s">
        <v>35</v>
      </c>
      <c r="G558" s="3">
        <v>23947</v>
      </c>
      <c r="H558" s="3">
        <v>6423</v>
      </c>
      <c r="I558" s="3">
        <v>8080</v>
      </c>
      <c r="J558" s="3">
        <v>272</v>
      </c>
      <c r="K558" s="3">
        <v>31</v>
      </c>
      <c r="L558" s="3">
        <v>39</v>
      </c>
      <c r="M558" s="3">
        <f t="shared" si="24"/>
        <v>342</v>
      </c>
      <c r="N558" s="4">
        <f t="shared" si="25"/>
        <v>5.3246146660439045E-2</v>
      </c>
      <c r="O558" s="4">
        <f t="shared" si="26"/>
        <v>0.26821731323339043</v>
      </c>
    </row>
    <row r="559" spans="1:15" x14ac:dyDescent="0.3">
      <c r="A559" s="2" t="s">
        <v>772</v>
      </c>
      <c r="B559" s="2" t="s">
        <v>773</v>
      </c>
      <c r="C559" s="2" t="s">
        <v>49</v>
      </c>
      <c r="D559" s="2" t="s">
        <v>33</v>
      </c>
      <c r="E559" s="2" t="s">
        <v>46</v>
      </c>
      <c r="F559" s="2" t="s">
        <v>47</v>
      </c>
      <c r="G559" s="3">
        <v>32261</v>
      </c>
      <c r="H559" s="3">
        <v>9259</v>
      </c>
      <c r="I559" s="3">
        <v>13572</v>
      </c>
      <c r="J559" s="3">
        <v>192</v>
      </c>
      <c r="K559" s="3">
        <v>32</v>
      </c>
      <c r="L559" s="3">
        <v>47</v>
      </c>
      <c r="M559" s="3">
        <f t="shared" si="24"/>
        <v>271</v>
      </c>
      <c r="N559" s="4">
        <f t="shared" si="25"/>
        <v>2.9268819526946755E-2</v>
      </c>
      <c r="O559" s="4">
        <f t="shared" si="26"/>
        <v>0.28700288273767088</v>
      </c>
    </row>
    <row r="560" spans="1:15" x14ac:dyDescent="0.3">
      <c r="A560" s="2" t="s">
        <v>774</v>
      </c>
      <c r="B560" s="2" t="s">
        <v>773</v>
      </c>
      <c r="C560" s="2" t="s">
        <v>73</v>
      </c>
      <c r="D560" s="2" t="s">
        <v>33</v>
      </c>
      <c r="E560" s="2" t="s">
        <v>46</v>
      </c>
      <c r="F560" s="2" t="s">
        <v>20</v>
      </c>
      <c r="G560" s="3">
        <v>31483</v>
      </c>
      <c r="H560" s="3">
        <v>13956</v>
      </c>
      <c r="I560" s="3">
        <v>18659</v>
      </c>
      <c r="J560" s="3">
        <v>291</v>
      </c>
      <c r="K560" s="3">
        <v>58</v>
      </c>
      <c r="L560" s="3">
        <v>87</v>
      </c>
      <c r="M560" s="3">
        <f t="shared" si="24"/>
        <v>436</v>
      </c>
      <c r="N560" s="4">
        <f t="shared" si="25"/>
        <v>3.124104327887647E-2</v>
      </c>
      <c r="O560" s="4">
        <f t="shared" si="26"/>
        <v>0.44328685322237399</v>
      </c>
    </row>
    <row r="561" spans="1:15" x14ac:dyDescent="0.3">
      <c r="A561" s="2" t="s">
        <v>775</v>
      </c>
      <c r="B561" s="2" t="s">
        <v>773</v>
      </c>
      <c r="C561" s="2" t="s">
        <v>27</v>
      </c>
      <c r="D561" s="2" t="s">
        <v>18</v>
      </c>
      <c r="E561" s="2" t="s">
        <v>24</v>
      </c>
      <c r="F561" s="2" t="s">
        <v>35</v>
      </c>
      <c r="G561" s="3">
        <v>24045</v>
      </c>
      <c r="H561" s="3">
        <v>6256</v>
      </c>
      <c r="I561" s="3">
        <v>11012</v>
      </c>
      <c r="J561" s="3">
        <v>126</v>
      </c>
      <c r="K561" s="3">
        <v>23</v>
      </c>
      <c r="L561" s="3">
        <v>11</v>
      </c>
      <c r="M561" s="3">
        <f t="shared" si="24"/>
        <v>160</v>
      </c>
      <c r="N561" s="4">
        <f t="shared" si="25"/>
        <v>2.557544757033248E-2</v>
      </c>
      <c r="O561" s="4">
        <f t="shared" si="26"/>
        <v>0.26017883135787068</v>
      </c>
    </row>
    <row r="562" spans="1:15" x14ac:dyDescent="0.3">
      <c r="A562" s="2" t="s">
        <v>776</v>
      </c>
      <c r="B562" s="2" t="s">
        <v>773</v>
      </c>
      <c r="C562" s="2" t="s">
        <v>55</v>
      </c>
      <c r="D562" s="2" t="s">
        <v>23</v>
      </c>
      <c r="E562" s="2" t="s">
        <v>34</v>
      </c>
      <c r="F562" s="2" t="s">
        <v>30</v>
      </c>
      <c r="G562" s="3">
        <v>40137</v>
      </c>
      <c r="H562" s="3">
        <v>6005</v>
      </c>
      <c r="I562" s="3">
        <v>9246</v>
      </c>
      <c r="J562" s="3">
        <v>88</v>
      </c>
      <c r="K562" s="3">
        <v>7</v>
      </c>
      <c r="L562" s="3">
        <v>40</v>
      </c>
      <c r="M562" s="3">
        <f t="shared" si="24"/>
        <v>135</v>
      </c>
      <c r="N562" s="4">
        <f t="shared" si="25"/>
        <v>2.2481265611990008E-2</v>
      </c>
      <c r="O562" s="4">
        <f t="shared" si="26"/>
        <v>0.14961257692403518</v>
      </c>
    </row>
    <row r="563" spans="1:15" x14ac:dyDescent="0.3">
      <c r="A563" s="2" t="s">
        <v>777</v>
      </c>
      <c r="B563" s="2" t="s">
        <v>773</v>
      </c>
      <c r="C563" s="2" t="s">
        <v>17</v>
      </c>
      <c r="D563" s="2" t="s">
        <v>50</v>
      </c>
      <c r="E563" s="2" t="s">
        <v>24</v>
      </c>
      <c r="F563" s="2" t="s">
        <v>79</v>
      </c>
      <c r="G563" s="3">
        <v>12638</v>
      </c>
      <c r="H563" s="3">
        <v>3324</v>
      </c>
      <c r="I563" s="3">
        <v>3880</v>
      </c>
      <c r="J563" s="3">
        <v>39</v>
      </c>
      <c r="K563" s="3">
        <v>6</v>
      </c>
      <c r="L563" s="3">
        <v>6</v>
      </c>
      <c r="M563" s="3">
        <f t="shared" si="24"/>
        <v>51</v>
      </c>
      <c r="N563" s="4">
        <f t="shared" si="25"/>
        <v>1.5342960288808664E-2</v>
      </c>
      <c r="O563" s="4">
        <f t="shared" si="26"/>
        <v>0.26301630004747589</v>
      </c>
    </row>
    <row r="564" spans="1:15" x14ac:dyDescent="0.3">
      <c r="A564" s="2" t="s">
        <v>778</v>
      </c>
      <c r="B564" s="2" t="s">
        <v>773</v>
      </c>
      <c r="C564" s="2" t="s">
        <v>49</v>
      </c>
      <c r="D564" s="2" t="s">
        <v>28</v>
      </c>
      <c r="E564" s="2" t="s">
        <v>24</v>
      </c>
      <c r="F564" s="2" t="s">
        <v>35</v>
      </c>
      <c r="G564" s="3">
        <v>55020</v>
      </c>
      <c r="H564" s="3">
        <v>42704</v>
      </c>
      <c r="I564" s="3">
        <v>63132</v>
      </c>
      <c r="J564" s="3">
        <v>452</v>
      </c>
      <c r="K564" s="3">
        <v>78</v>
      </c>
      <c r="L564" s="3">
        <v>37</v>
      </c>
      <c r="M564" s="3">
        <f t="shared" si="24"/>
        <v>567</v>
      </c>
      <c r="N564" s="4">
        <f t="shared" si="25"/>
        <v>1.3277444735856125E-2</v>
      </c>
      <c r="O564" s="4">
        <f t="shared" si="26"/>
        <v>0.77615412577244636</v>
      </c>
    </row>
    <row r="565" spans="1:15" x14ac:dyDescent="0.3">
      <c r="A565" s="2" t="s">
        <v>779</v>
      </c>
      <c r="B565" s="2" t="s">
        <v>780</v>
      </c>
      <c r="C565" s="2" t="s">
        <v>22</v>
      </c>
      <c r="D565" s="2" t="s">
        <v>33</v>
      </c>
      <c r="E565" s="2" t="s">
        <v>40</v>
      </c>
      <c r="F565" s="2" t="s">
        <v>47</v>
      </c>
      <c r="G565" s="3">
        <v>32033</v>
      </c>
      <c r="H565" s="3">
        <v>6050</v>
      </c>
      <c r="I565" s="3">
        <v>9012</v>
      </c>
      <c r="J565" s="3">
        <v>436</v>
      </c>
      <c r="K565" s="3">
        <v>57</v>
      </c>
      <c r="L565" s="3">
        <v>84</v>
      </c>
      <c r="M565" s="3">
        <f t="shared" si="24"/>
        <v>577</v>
      </c>
      <c r="N565" s="4">
        <f t="shared" si="25"/>
        <v>9.5371900826446282E-2</v>
      </c>
      <c r="O565" s="4">
        <f t="shared" si="26"/>
        <v>0.18886773015327943</v>
      </c>
    </row>
    <row r="566" spans="1:15" x14ac:dyDescent="0.3">
      <c r="A566" s="2" t="s">
        <v>781</v>
      </c>
      <c r="B566" s="2" t="s">
        <v>780</v>
      </c>
      <c r="C566" s="2" t="s">
        <v>64</v>
      </c>
      <c r="D566" s="2" t="s">
        <v>18</v>
      </c>
      <c r="E566" s="2" t="s">
        <v>34</v>
      </c>
      <c r="F566" s="2" t="s">
        <v>47</v>
      </c>
      <c r="G566" s="3">
        <v>23987</v>
      </c>
      <c r="H566" s="3">
        <v>5686</v>
      </c>
      <c r="I566" s="3">
        <v>8532</v>
      </c>
      <c r="J566" s="3">
        <v>182</v>
      </c>
      <c r="K566" s="3">
        <v>22</v>
      </c>
      <c r="L566" s="3">
        <v>48</v>
      </c>
      <c r="M566" s="3">
        <f t="shared" si="24"/>
        <v>252</v>
      </c>
      <c r="N566" s="4">
        <f t="shared" si="25"/>
        <v>4.4319380935631376E-2</v>
      </c>
      <c r="O566" s="4">
        <f t="shared" si="26"/>
        <v>0.23704506607745862</v>
      </c>
    </row>
    <row r="567" spans="1:15" x14ac:dyDescent="0.3">
      <c r="A567" s="2" t="s">
        <v>782</v>
      </c>
      <c r="B567" s="2" t="s">
        <v>780</v>
      </c>
      <c r="C567" s="2" t="s">
        <v>55</v>
      </c>
      <c r="D567" s="2" t="s">
        <v>50</v>
      </c>
      <c r="E567" s="2" t="s">
        <v>29</v>
      </c>
      <c r="F567" s="2" t="s">
        <v>79</v>
      </c>
      <c r="G567" s="3">
        <v>12608</v>
      </c>
      <c r="H567" s="3">
        <v>3225</v>
      </c>
      <c r="I567" s="3">
        <v>3836</v>
      </c>
      <c r="J567" s="3">
        <v>108</v>
      </c>
      <c r="K567" s="3">
        <v>18</v>
      </c>
      <c r="L567" s="3">
        <v>21</v>
      </c>
      <c r="M567" s="3">
        <f t="shared" si="24"/>
        <v>147</v>
      </c>
      <c r="N567" s="4">
        <f t="shared" si="25"/>
        <v>4.5581395348837206E-2</v>
      </c>
      <c r="O567" s="4">
        <f t="shared" si="26"/>
        <v>0.25578997461928932</v>
      </c>
    </row>
    <row r="568" spans="1:15" x14ac:dyDescent="0.3">
      <c r="A568" s="2" t="s">
        <v>783</v>
      </c>
      <c r="B568" s="2" t="s">
        <v>780</v>
      </c>
      <c r="C568" s="2" t="s">
        <v>52</v>
      </c>
      <c r="D568" s="2" t="s">
        <v>28</v>
      </c>
      <c r="E568" s="2" t="s">
        <v>29</v>
      </c>
      <c r="F568" s="2" t="s">
        <v>79</v>
      </c>
      <c r="G568" s="3">
        <v>54809</v>
      </c>
      <c r="H568" s="3">
        <v>15713</v>
      </c>
      <c r="I568" s="3">
        <v>19970</v>
      </c>
      <c r="J568" s="3">
        <v>355</v>
      </c>
      <c r="K568" s="3">
        <v>63</v>
      </c>
      <c r="L568" s="3">
        <v>118</v>
      </c>
      <c r="M568" s="3">
        <f t="shared" si="24"/>
        <v>536</v>
      </c>
      <c r="N568" s="4">
        <f t="shared" si="25"/>
        <v>3.4111881881244831E-2</v>
      </c>
      <c r="O568" s="4">
        <f t="shared" si="26"/>
        <v>0.28668649309419986</v>
      </c>
    </row>
    <row r="569" spans="1:15" x14ac:dyDescent="0.3">
      <c r="A569" s="2" t="s">
        <v>784</v>
      </c>
      <c r="B569" s="2" t="s">
        <v>780</v>
      </c>
      <c r="C569" s="2" t="s">
        <v>39</v>
      </c>
      <c r="D569" s="2" t="s">
        <v>28</v>
      </c>
      <c r="E569" s="2" t="s">
        <v>34</v>
      </c>
      <c r="F569" s="2" t="s">
        <v>79</v>
      </c>
      <c r="G569" s="3">
        <v>54276</v>
      </c>
      <c r="H569" s="3">
        <v>32564</v>
      </c>
      <c r="I569" s="3">
        <v>36672</v>
      </c>
      <c r="J569" s="3">
        <v>1197</v>
      </c>
      <c r="K569" s="3">
        <v>151</v>
      </c>
      <c r="L569" s="3">
        <v>299</v>
      </c>
      <c r="M569" s="3">
        <f t="shared" si="24"/>
        <v>1647</v>
      </c>
      <c r="N569" s="4">
        <f t="shared" si="25"/>
        <v>5.0577324652991036E-2</v>
      </c>
      <c r="O569" s="4">
        <f t="shared" si="26"/>
        <v>0.59997052104060722</v>
      </c>
    </row>
    <row r="570" spans="1:15" x14ac:dyDescent="0.3">
      <c r="A570" s="2" t="s">
        <v>785</v>
      </c>
      <c r="B570" s="2" t="s">
        <v>786</v>
      </c>
      <c r="C570" s="2" t="s">
        <v>83</v>
      </c>
      <c r="D570" s="2" t="s">
        <v>50</v>
      </c>
      <c r="E570" s="2" t="s">
        <v>24</v>
      </c>
      <c r="F570" s="2" t="s">
        <v>30</v>
      </c>
      <c r="G570" s="3">
        <v>13010</v>
      </c>
      <c r="H570" s="3">
        <v>1860</v>
      </c>
      <c r="I570" s="3">
        <v>2924</v>
      </c>
      <c r="J570" s="3">
        <v>28</v>
      </c>
      <c r="K570" s="3">
        <v>4</v>
      </c>
      <c r="L570" s="3">
        <v>7</v>
      </c>
      <c r="M570" s="3">
        <f t="shared" si="24"/>
        <v>39</v>
      </c>
      <c r="N570" s="4">
        <f t="shared" si="25"/>
        <v>2.0967741935483872E-2</v>
      </c>
      <c r="O570" s="4">
        <f t="shared" si="26"/>
        <v>0.14296694850115296</v>
      </c>
    </row>
    <row r="571" spans="1:15" x14ac:dyDescent="0.3">
      <c r="A571" s="2" t="s">
        <v>787</v>
      </c>
      <c r="B571" s="2" t="s">
        <v>786</v>
      </c>
      <c r="C571" s="2" t="s">
        <v>39</v>
      </c>
      <c r="D571" s="2" t="s">
        <v>28</v>
      </c>
      <c r="E571" s="2" t="s">
        <v>40</v>
      </c>
      <c r="F571" s="2" t="s">
        <v>25</v>
      </c>
      <c r="G571" s="3">
        <v>55072</v>
      </c>
      <c r="H571" s="3">
        <v>44099</v>
      </c>
      <c r="I571" s="3">
        <v>72807</v>
      </c>
      <c r="J571" s="3">
        <v>2721</v>
      </c>
      <c r="K571" s="3">
        <v>293</v>
      </c>
      <c r="L571" s="3">
        <v>712</v>
      </c>
      <c r="M571" s="3">
        <f t="shared" si="24"/>
        <v>3726</v>
      </c>
      <c r="N571" s="4">
        <f t="shared" si="25"/>
        <v>8.4491711830200225E-2</v>
      </c>
      <c r="O571" s="4">
        <f t="shared" si="26"/>
        <v>0.80075174317257414</v>
      </c>
    </row>
    <row r="572" spans="1:15" x14ac:dyDescent="0.3">
      <c r="A572" s="2" t="s">
        <v>788</v>
      </c>
      <c r="B572" s="2" t="s">
        <v>789</v>
      </c>
      <c r="C572" s="2" t="s">
        <v>43</v>
      </c>
      <c r="D572" s="2" t="s">
        <v>33</v>
      </c>
      <c r="E572" s="2" t="s">
        <v>19</v>
      </c>
      <c r="F572" s="2" t="s">
        <v>30</v>
      </c>
      <c r="G572" s="3">
        <v>32453</v>
      </c>
      <c r="H572" s="3">
        <v>10907</v>
      </c>
      <c r="I572" s="3">
        <v>16516</v>
      </c>
      <c r="J572" s="3">
        <v>284</v>
      </c>
      <c r="K572" s="3">
        <v>39</v>
      </c>
      <c r="L572" s="3">
        <v>64</v>
      </c>
      <c r="M572" s="3">
        <f t="shared" si="24"/>
        <v>387</v>
      </c>
      <c r="N572" s="4">
        <f t="shared" si="25"/>
        <v>3.548180067846337E-2</v>
      </c>
      <c r="O572" s="4">
        <f t="shared" si="26"/>
        <v>0.33608603210797156</v>
      </c>
    </row>
    <row r="573" spans="1:15" x14ac:dyDescent="0.3">
      <c r="A573" s="2" t="s">
        <v>790</v>
      </c>
      <c r="B573" s="2" t="s">
        <v>789</v>
      </c>
      <c r="C573" s="2" t="s">
        <v>27</v>
      </c>
      <c r="D573" s="2" t="s">
        <v>18</v>
      </c>
      <c r="E573" s="2" t="s">
        <v>46</v>
      </c>
      <c r="F573" s="2" t="s">
        <v>35</v>
      </c>
      <c r="G573" s="3">
        <v>23904</v>
      </c>
      <c r="H573" s="3">
        <v>3824</v>
      </c>
      <c r="I573" s="3">
        <v>5982</v>
      </c>
      <c r="J573" s="3">
        <v>47</v>
      </c>
      <c r="K573" s="3">
        <v>4</v>
      </c>
      <c r="L573" s="3">
        <v>15</v>
      </c>
      <c r="M573" s="3">
        <f t="shared" si="24"/>
        <v>66</v>
      </c>
      <c r="N573" s="4">
        <f t="shared" si="25"/>
        <v>1.7259414225941423E-2</v>
      </c>
      <c r="O573" s="4">
        <f t="shared" si="26"/>
        <v>0.15997322623828647</v>
      </c>
    </row>
    <row r="574" spans="1:15" x14ac:dyDescent="0.3">
      <c r="A574" s="2" t="s">
        <v>791</v>
      </c>
      <c r="B574" s="2" t="s">
        <v>789</v>
      </c>
      <c r="C574" s="2" t="s">
        <v>64</v>
      </c>
      <c r="D574" s="2" t="s">
        <v>23</v>
      </c>
      <c r="E574" s="2" t="s">
        <v>19</v>
      </c>
      <c r="F574" s="2" t="s">
        <v>67</v>
      </c>
      <c r="G574" s="3">
        <v>40917</v>
      </c>
      <c r="H574" s="3">
        <v>6230</v>
      </c>
      <c r="I574" s="3">
        <v>7666</v>
      </c>
      <c r="J574" s="3">
        <v>226</v>
      </c>
      <c r="K574" s="3">
        <v>40</v>
      </c>
      <c r="L574" s="3">
        <v>37</v>
      </c>
      <c r="M574" s="3">
        <f t="shared" si="24"/>
        <v>303</v>
      </c>
      <c r="N574" s="4">
        <f t="shared" si="25"/>
        <v>4.8635634028892455E-2</v>
      </c>
      <c r="O574" s="4">
        <f t="shared" si="26"/>
        <v>0.15225945206149033</v>
      </c>
    </row>
    <row r="575" spans="1:15" x14ac:dyDescent="0.3">
      <c r="A575" s="2" t="s">
        <v>792</v>
      </c>
      <c r="B575" s="2" t="s">
        <v>789</v>
      </c>
      <c r="C575" s="2" t="s">
        <v>73</v>
      </c>
      <c r="D575" s="2" t="s">
        <v>50</v>
      </c>
      <c r="E575" s="2" t="s">
        <v>24</v>
      </c>
      <c r="F575" s="2" t="s">
        <v>41</v>
      </c>
      <c r="G575" s="3">
        <v>13093</v>
      </c>
      <c r="H575" s="3">
        <v>3759</v>
      </c>
      <c r="I575" s="3">
        <v>4292</v>
      </c>
      <c r="J575" s="3">
        <v>45</v>
      </c>
      <c r="K575" s="3">
        <v>4</v>
      </c>
      <c r="L575" s="3">
        <v>14</v>
      </c>
      <c r="M575" s="3">
        <f t="shared" si="24"/>
        <v>63</v>
      </c>
      <c r="N575" s="4">
        <f t="shared" si="25"/>
        <v>1.6759776536312849E-2</v>
      </c>
      <c r="O575" s="4">
        <f t="shared" si="26"/>
        <v>0.28709997708699303</v>
      </c>
    </row>
    <row r="576" spans="1:15" x14ac:dyDescent="0.3">
      <c r="A576" s="2" t="s">
        <v>793</v>
      </c>
      <c r="B576" s="2" t="s">
        <v>794</v>
      </c>
      <c r="C576" s="2" t="s">
        <v>17</v>
      </c>
      <c r="D576" s="2" t="s">
        <v>33</v>
      </c>
      <c r="E576" s="2" t="s">
        <v>29</v>
      </c>
      <c r="F576" s="2" t="s">
        <v>30</v>
      </c>
      <c r="G576" s="3">
        <v>32390</v>
      </c>
      <c r="H576" s="3">
        <v>13228</v>
      </c>
      <c r="I576" s="3">
        <v>17022</v>
      </c>
      <c r="J576" s="3">
        <v>298</v>
      </c>
      <c r="K576" s="3">
        <v>52</v>
      </c>
      <c r="L576" s="3">
        <v>93</v>
      </c>
      <c r="M576" s="3">
        <f t="shared" si="24"/>
        <v>443</v>
      </c>
      <c r="N576" s="4">
        <f t="shared" si="25"/>
        <v>3.3489567583912909E-2</v>
      </c>
      <c r="O576" s="4">
        <f t="shared" si="26"/>
        <v>0.40839765359678915</v>
      </c>
    </row>
    <row r="577" spans="1:15" x14ac:dyDescent="0.3">
      <c r="A577" s="2" t="s">
        <v>795</v>
      </c>
      <c r="B577" s="2" t="s">
        <v>794</v>
      </c>
      <c r="C577" s="2" t="s">
        <v>39</v>
      </c>
      <c r="D577" s="2" t="s">
        <v>18</v>
      </c>
      <c r="E577" s="2" t="s">
        <v>19</v>
      </c>
      <c r="F577" s="2" t="s">
        <v>67</v>
      </c>
      <c r="G577" s="3">
        <v>23689</v>
      </c>
      <c r="H577" s="3">
        <v>6288</v>
      </c>
      <c r="I577" s="3">
        <v>8959</v>
      </c>
      <c r="J577" s="3">
        <v>234</v>
      </c>
      <c r="K577" s="3">
        <v>37</v>
      </c>
      <c r="L577" s="3">
        <v>57</v>
      </c>
      <c r="M577" s="3">
        <f t="shared" si="24"/>
        <v>328</v>
      </c>
      <c r="N577" s="4">
        <f t="shared" si="25"/>
        <v>5.2162849872773538E-2</v>
      </c>
      <c r="O577" s="4">
        <f t="shared" si="26"/>
        <v>0.26543965553632487</v>
      </c>
    </row>
    <row r="578" spans="1:15" x14ac:dyDescent="0.3">
      <c r="A578" s="2" t="s">
        <v>796</v>
      </c>
      <c r="B578" s="2" t="s">
        <v>794</v>
      </c>
      <c r="C578" s="2" t="s">
        <v>39</v>
      </c>
      <c r="D578" s="2" t="s">
        <v>18</v>
      </c>
      <c r="E578" s="2" t="s">
        <v>19</v>
      </c>
      <c r="F578" s="2" t="s">
        <v>20</v>
      </c>
      <c r="G578" s="3">
        <v>23715</v>
      </c>
      <c r="H578" s="3">
        <v>2509</v>
      </c>
      <c r="I578" s="3">
        <v>4146</v>
      </c>
      <c r="J578" s="3">
        <v>65</v>
      </c>
      <c r="K578" s="3">
        <v>10</v>
      </c>
      <c r="L578" s="3">
        <v>14</v>
      </c>
      <c r="M578" s="3">
        <f t="shared" ref="M578:M641" si="27">SUM(J578:L578)</f>
        <v>89</v>
      </c>
      <c r="N578" s="4">
        <f t="shared" ref="N578:N641" si="28">IFERROR(M578/H578,0)</f>
        <v>3.5472299721004387E-2</v>
      </c>
      <c r="O578" s="4">
        <f t="shared" ref="O578:O641" si="29">IFERROR(H578/G578,0)</f>
        <v>0.10579801813198397</v>
      </c>
    </row>
    <row r="579" spans="1:15" x14ac:dyDescent="0.3">
      <c r="A579" s="2" t="s">
        <v>797</v>
      </c>
      <c r="B579" s="2" t="s">
        <v>794</v>
      </c>
      <c r="C579" s="2" t="s">
        <v>49</v>
      </c>
      <c r="D579" s="2" t="s">
        <v>50</v>
      </c>
      <c r="E579" s="2" t="s">
        <v>34</v>
      </c>
      <c r="F579" s="2" t="s">
        <v>79</v>
      </c>
      <c r="G579" s="3">
        <v>12939</v>
      </c>
      <c r="H579" s="3">
        <v>4133</v>
      </c>
      <c r="I579" s="3">
        <v>7151</v>
      </c>
      <c r="J579" s="3">
        <v>96</v>
      </c>
      <c r="K579" s="3">
        <v>15</v>
      </c>
      <c r="L579" s="3">
        <v>26</v>
      </c>
      <c r="M579" s="3">
        <f t="shared" si="27"/>
        <v>137</v>
      </c>
      <c r="N579" s="4">
        <f t="shared" si="28"/>
        <v>3.3147834502782483E-2</v>
      </c>
      <c r="O579" s="4">
        <f t="shared" si="29"/>
        <v>0.31942190277455756</v>
      </c>
    </row>
    <row r="580" spans="1:15" x14ac:dyDescent="0.3">
      <c r="A580" s="2" t="s">
        <v>798</v>
      </c>
      <c r="B580" s="2" t="s">
        <v>794</v>
      </c>
      <c r="C580" s="2" t="s">
        <v>27</v>
      </c>
      <c r="D580" s="2" t="s">
        <v>50</v>
      </c>
      <c r="E580" s="2" t="s">
        <v>40</v>
      </c>
      <c r="F580" s="2" t="s">
        <v>20</v>
      </c>
      <c r="G580" s="3">
        <v>12750</v>
      </c>
      <c r="H580" s="3">
        <v>3204</v>
      </c>
      <c r="I580" s="3">
        <v>4646</v>
      </c>
      <c r="J580" s="3">
        <v>77</v>
      </c>
      <c r="K580" s="3">
        <v>11</v>
      </c>
      <c r="L580" s="3">
        <v>16</v>
      </c>
      <c r="M580" s="3">
        <f t="shared" si="27"/>
        <v>104</v>
      </c>
      <c r="N580" s="4">
        <f t="shared" si="28"/>
        <v>3.2459425717852687E-2</v>
      </c>
      <c r="O580" s="4">
        <f t="shared" si="29"/>
        <v>0.25129411764705883</v>
      </c>
    </row>
    <row r="581" spans="1:15" x14ac:dyDescent="0.3">
      <c r="A581" s="2" t="s">
        <v>799</v>
      </c>
      <c r="B581" s="2" t="s">
        <v>794</v>
      </c>
      <c r="C581" s="2" t="s">
        <v>43</v>
      </c>
      <c r="D581" s="2" t="s">
        <v>28</v>
      </c>
      <c r="E581" s="2" t="s">
        <v>19</v>
      </c>
      <c r="F581" s="2" t="s">
        <v>30</v>
      </c>
      <c r="G581" s="3">
        <v>55833</v>
      </c>
      <c r="H581" s="3">
        <v>25332</v>
      </c>
      <c r="I581" s="3">
        <v>42624</v>
      </c>
      <c r="J581" s="3">
        <v>1222</v>
      </c>
      <c r="K581" s="3">
        <v>197</v>
      </c>
      <c r="L581" s="3">
        <v>167</v>
      </c>
      <c r="M581" s="3">
        <f t="shared" si="27"/>
        <v>1586</v>
      </c>
      <c r="N581" s="4">
        <f t="shared" si="28"/>
        <v>6.2608558345176063E-2</v>
      </c>
      <c r="O581" s="4">
        <f t="shared" si="29"/>
        <v>0.45371017140400838</v>
      </c>
    </row>
    <row r="582" spans="1:15" x14ac:dyDescent="0.3">
      <c r="A582" s="2" t="s">
        <v>800</v>
      </c>
      <c r="B582" s="2" t="s">
        <v>801</v>
      </c>
      <c r="C582" s="2" t="s">
        <v>83</v>
      </c>
      <c r="D582" s="2" t="s">
        <v>33</v>
      </c>
      <c r="E582" s="2" t="s">
        <v>19</v>
      </c>
      <c r="F582" s="2" t="s">
        <v>35</v>
      </c>
      <c r="G582" s="3">
        <v>32183</v>
      </c>
      <c r="H582" s="3">
        <v>8002</v>
      </c>
      <c r="I582" s="3">
        <v>12104</v>
      </c>
      <c r="J582" s="3">
        <v>271</v>
      </c>
      <c r="K582" s="3">
        <v>55</v>
      </c>
      <c r="L582" s="3">
        <v>59</v>
      </c>
      <c r="M582" s="3">
        <f t="shared" si="27"/>
        <v>385</v>
      </c>
      <c r="N582" s="4">
        <f t="shared" si="28"/>
        <v>4.8112971757060738E-2</v>
      </c>
      <c r="O582" s="4">
        <f t="shared" si="29"/>
        <v>0.2486405866451232</v>
      </c>
    </row>
    <row r="583" spans="1:15" x14ac:dyDescent="0.3">
      <c r="A583" s="2" t="s">
        <v>802</v>
      </c>
      <c r="B583" s="2" t="s">
        <v>801</v>
      </c>
      <c r="C583" s="2" t="s">
        <v>83</v>
      </c>
      <c r="D583" s="2" t="s">
        <v>33</v>
      </c>
      <c r="E583" s="2" t="s">
        <v>24</v>
      </c>
      <c r="F583" s="2" t="s">
        <v>41</v>
      </c>
      <c r="G583" s="3">
        <v>32229</v>
      </c>
      <c r="H583" s="3">
        <v>7944</v>
      </c>
      <c r="I583" s="3">
        <v>10282</v>
      </c>
      <c r="J583" s="3">
        <v>187</v>
      </c>
      <c r="K583" s="3">
        <v>27</v>
      </c>
      <c r="L583" s="3">
        <v>65</v>
      </c>
      <c r="M583" s="3">
        <f t="shared" si="27"/>
        <v>279</v>
      </c>
      <c r="N583" s="4">
        <f t="shared" si="28"/>
        <v>3.512084592145015E-2</v>
      </c>
      <c r="O583" s="4">
        <f t="shared" si="29"/>
        <v>0.24648608396164945</v>
      </c>
    </row>
    <row r="584" spans="1:15" x14ac:dyDescent="0.3">
      <c r="A584" s="2" t="s">
        <v>803</v>
      </c>
      <c r="B584" s="2" t="s">
        <v>801</v>
      </c>
      <c r="C584" s="2" t="s">
        <v>27</v>
      </c>
      <c r="D584" s="2" t="s">
        <v>23</v>
      </c>
      <c r="E584" s="2" t="s">
        <v>24</v>
      </c>
      <c r="F584" s="2" t="s">
        <v>67</v>
      </c>
      <c r="G584" s="3">
        <v>41378</v>
      </c>
      <c r="H584" s="3">
        <v>7146</v>
      </c>
      <c r="I584" s="3">
        <v>12566</v>
      </c>
      <c r="J584" s="3">
        <v>176</v>
      </c>
      <c r="K584" s="3">
        <v>17</v>
      </c>
      <c r="L584" s="3">
        <v>37</v>
      </c>
      <c r="M584" s="3">
        <f t="shared" si="27"/>
        <v>230</v>
      </c>
      <c r="N584" s="4">
        <f t="shared" si="28"/>
        <v>3.2185838231178279E-2</v>
      </c>
      <c r="O584" s="4">
        <f t="shared" si="29"/>
        <v>0.17270046884818019</v>
      </c>
    </row>
    <row r="585" spans="1:15" x14ac:dyDescent="0.3">
      <c r="A585" s="2" t="s">
        <v>804</v>
      </c>
      <c r="B585" s="2" t="s">
        <v>801</v>
      </c>
      <c r="C585" s="2" t="s">
        <v>43</v>
      </c>
      <c r="D585" s="2" t="s">
        <v>50</v>
      </c>
      <c r="E585" s="2" t="s">
        <v>46</v>
      </c>
      <c r="F585" s="2" t="s">
        <v>79</v>
      </c>
      <c r="G585" s="3">
        <v>13112</v>
      </c>
      <c r="H585" s="3">
        <v>3639</v>
      </c>
      <c r="I585" s="3">
        <v>5365</v>
      </c>
      <c r="J585" s="3">
        <v>39</v>
      </c>
      <c r="K585" s="3">
        <v>2</v>
      </c>
      <c r="L585" s="3">
        <v>14</v>
      </c>
      <c r="M585" s="3">
        <f t="shared" si="27"/>
        <v>55</v>
      </c>
      <c r="N585" s="4">
        <f t="shared" si="28"/>
        <v>1.5114042319318495E-2</v>
      </c>
      <c r="O585" s="4">
        <f t="shared" si="29"/>
        <v>0.27753203172666258</v>
      </c>
    </row>
    <row r="586" spans="1:15" x14ac:dyDescent="0.3">
      <c r="A586" s="2" t="s">
        <v>805</v>
      </c>
      <c r="B586" s="2" t="s">
        <v>806</v>
      </c>
      <c r="C586" s="2" t="s">
        <v>43</v>
      </c>
      <c r="D586" s="2" t="s">
        <v>18</v>
      </c>
      <c r="E586" s="2" t="s">
        <v>19</v>
      </c>
      <c r="F586" s="2" t="s">
        <v>35</v>
      </c>
      <c r="G586" s="3">
        <v>23720</v>
      </c>
      <c r="H586" s="3">
        <v>6595</v>
      </c>
      <c r="I586" s="3">
        <v>11482</v>
      </c>
      <c r="J586" s="3">
        <v>290</v>
      </c>
      <c r="K586" s="3">
        <v>47</v>
      </c>
      <c r="L586" s="3">
        <v>35</v>
      </c>
      <c r="M586" s="3">
        <f t="shared" si="27"/>
        <v>372</v>
      </c>
      <c r="N586" s="4">
        <f t="shared" si="28"/>
        <v>5.6406368460955272E-2</v>
      </c>
      <c r="O586" s="4">
        <f t="shared" si="29"/>
        <v>0.27803541315345698</v>
      </c>
    </row>
    <row r="587" spans="1:15" x14ac:dyDescent="0.3">
      <c r="A587" s="2" t="s">
        <v>807</v>
      </c>
      <c r="B587" s="2" t="s">
        <v>806</v>
      </c>
      <c r="C587" s="2" t="s">
        <v>22</v>
      </c>
      <c r="D587" s="2" t="s">
        <v>50</v>
      </c>
      <c r="E587" s="2" t="s">
        <v>40</v>
      </c>
      <c r="F587" s="2" t="s">
        <v>47</v>
      </c>
      <c r="G587" s="3">
        <v>13044</v>
      </c>
      <c r="H587" s="3">
        <v>4344</v>
      </c>
      <c r="I587" s="3">
        <v>5790</v>
      </c>
      <c r="J587" s="3">
        <v>185</v>
      </c>
      <c r="K587" s="3">
        <v>14</v>
      </c>
      <c r="L587" s="3">
        <v>37</v>
      </c>
      <c r="M587" s="3">
        <f t="shared" si="27"/>
        <v>236</v>
      </c>
      <c r="N587" s="4">
        <f t="shared" si="28"/>
        <v>5.432780847145488E-2</v>
      </c>
      <c r="O587" s="4">
        <f t="shared" si="29"/>
        <v>0.33302667893284271</v>
      </c>
    </row>
    <row r="588" spans="1:15" x14ac:dyDescent="0.3">
      <c r="A588" s="2" t="s">
        <v>808</v>
      </c>
      <c r="B588" s="2" t="s">
        <v>806</v>
      </c>
      <c r="C588" s="2" t="s">
        <v>39</v>
      </c>
      <c r="D588" s="2" t="s">
        <v>50</v>
      </c>
      <c r="E588" s="2" t="s">
        <v>46</v>
      </c>
      <c r="F588" s="2" t="s">
        <v>35</v>
      </c>
      <c r="G588" s="3">
        <v>12925</v>
      </c>
      <c r="H588" s="3">
        <v>2596</v>
      </c>
      <c r="I588" s="3">
        <v>3949</v>
      </c>
      <c r="J588" s="3">
        <v>60</v>
      </c>
      <c r="K588" s="3">
        <v>7</v>
      </c>
      <c r="L588" s="3">
        <v>13</v>
      </c>
      <c r="M588" s="3">
        <f t="shared" si="27"/>
        <v>80</v>
      </c>
      <c r="N588" s="4">
        <f t="shared" si="28"/>
        <v>3.0816640986132512E-2</v>
      </c>
      <c r="O588" s="4">
        <f t="shared" si="29"/>
        <v>0.20085106382978724</v>
      </c>
    </row>
    <row r="589" spans="1:15" x14ac:dyDescent="0.3">
      <c r="A589" s="2" t="s">
        <v>809</v>
      </c>
      <c r="B589" s="2" t="s">
        <v>810</v>
      </c>
      <c r="C589" s="2" t="s">
        <v>55</v>
      </c>
      <c r="D589" s="2" t="s">
        <v>18</v>
      </c>
      <c r="E589" s="2" t="s">
        <v>46</v>
      </c>
      <c r="F589" s="2" t="s">
        <v>20</v>
      </c>
      <c r="G589" s="3">
        <v>23553</v>
      </c>
      <c r="H589" s="3">
        <v>3297</v>
      </c>
      <c r="I589" s="3">
        <v>4331</v>
      </c>
      <c r="J589" s="3">
        <v>59</v>
      </c>
      <c r="K589" s="3">
        <v>10</v>
      </c>
      <c r="L589" s="3">
        <v>17</v>
      </c>
      <c r="M589" s="3">
        <f t="shared" si="27"/>
        <v>86</v>
      </c>
      <c r="N589" s="4">
        <f t="shared" si="28"/>
        <v>2.6084319077949652E-2</v>
      </c>
      <c r="O589" s="4">
        <f t="shared" si="29"/>
        <v>0.13998216787670362</v>
      </c>
    </row>
    <row r="590" spans="1:15" x14ac:dyDescent="0.3">
      <c r="A590" s="2" t="s">
        <v>811</v>
      </c>
      <c r="B590" s="2" t="s">
        <v>812</v>
      </c>
      <c r="C590" s="2" t="s">
        <v>43</v>
      </c>
      <c r="D590" s="2" t="s">
        <v>18</v>
      </c>
      <c r="E590" s="2" t="s">
        <v>46</v>
      </c>
      <c r="F590" s="2" t="s">
        <v>20</v>
      </c>
      <c r="G590" s="3">
        <v>23833</v>
      </c>
      <c r="H590" s="3">
        <v>5660</v>
      </c>
      <c r="I590" s="3">
        <v>9501</v>
      </c>
      <c r="J590" s="3">
        <v>133</v>
      </c>
      <c r="K590" s="3">
        <v>12</v>
      </c>
      <c r="L590" s="3">
        <v>43</v>
      </c>
      <c r="M590" s="3">
        <f t="shared" si="27"/>
        <v>188</v>
      </c>
      <c r="N590" s="4">
        <f t="shared" si="28"/>
        <v>3.3215547703180213E-2</v>
      </c>
      <c r="O590" s="4">
        <f t="shared" si="29"/>
        <v>0.23748583896278269</v>
      </c>
    </row>
    <row r="591" spans="1:15" x14ac:dyDescent="0.3">
      <c r="A591" s="2" t="s">
        <v>813</v>
      </c>
      <c r="B591" s="2" t="s">
        <v>812</v>
      </c>
      <c r="C591" s="2" t="s">
        <v>52</v>
      </c>
      <c r="D591" s="2" t="s">
        <v>28</v>
      </c>
      <c r="E591" s="2" t="s">
        <v>24</v>
      </c>
      <c r="F591" s="2" t="s">
        <v>25</v>
      </c>
      <c r="G591" s="3">
        <v>56436</v>
      </c>
      <c r="H591" s="3">
        <v>49843</v>
      </c>
      <c r="I591" s="3">
        <v>61744</v>
      </c>
      <c r="J591" s="3">
        <v>1249</v>
      </c>
      <c r="K591" s="3">
        <v>163</v>
      </c>
      <c r="L591" s="3">
        <v>348</v>
      </c>
      <c r="M591" s="3">
        <f t="shared" si="27"/>
        <v>1760</v>
      </c>
      <c r="N591" s="4">
        <f t="shared" si="28"/>
        <v>3.5310876151114501E-2</v>
      </c>
      <c r="O591" s="4">
        <f t="shared" si="29"/>
        <v>0.88317740449358562</v>
      </c>
    </row>
    <row r="592" spans="1:15" x14ac:dyDescent="0.3">
      <c r="A592" s="2" t="s">
        <v>814</v>
      </c>
      <c r="B592" s="2" t="s">
        <v>815</v>
      </c>
      <c r="C592" s="2" t="s">
        <v>17</v>
      </c>
      <c r="D592" s="2" t="s">
        <v>33</v>
      </c>
      <c r="E592" s="2" t="s">
        <v>19</v>
      </c>
      <c r="F592" s="2" t="s">
        <v>30</v>
      </c>
      <c r="G592" s="3">
        <v>31807</v>
      </c>
      <c r="H592" s="3">
        <v>10241</v>
      </c>
      <c r="I592" s="3">
        <v>16809</v>
      </c>
      <c r="J592" s="3">
        <v>584</v>
      </c>
      <c r="K592" s="3">
        <v>75</v>
      </c>
      <c r="L592" s="3">
        <v>96</v>
      </c>
      <c r="M592" s="3">
        <f t="shared" si="27"/>
        <v>755</v>
      </c>
      <c r="N592" s="4">
        <f t="shared" si="28"/>
        <v>7.3723269211991016E-2</v>
      </c>
      <c r="O592" s="4">
        <f t="shared" si="29"/>
        <v>0.32197315056434117</v>
      </c>
    </row>
    <row r="593" spans="1:15" x14ac:dyDescent="0.3">
      <c r="A593" s="2" t="s">
        <v>816</v>
      </c>
      <c r="B593" s="2" t="s">
        <v>815</v>
      </c>
      <c r="C593" s="2" t="s">
        <v>73</v>
      </c>
      <c r="D593" s="2" t="s">
        <v>23</v>
      </c>
      <c r="E593" s="2" t="s">
        <v>29</v>
      </c>
      <c r="F593" s="2" t="s">
        <v>35</v>
      </c>
      <c r="G593" s="3">
        <v>41448</v>
      </c>
      <c r="H593" s="3">
        <v>5532</v>
      </c>
      <c r="I593" s="3">
        <v>7755</v>
      </c>
      <c r="J593" s="3">
        <v>109</v>
      </c>
      <c r="K593" s="3">
        <v>21</v>
      </c>
      <c r="L593" s="3">
        <v>31</v>
      </c>
      <c r="M593" s="3">
        <f t="shared" si="27"/>
        <v>161</v>
      </c>
      <c r="N593" s="4">
        <f t="shared" si="28"/>
        <v>2.9103398409255243E-2</v>
      </c>
      <c r="O593" s="4">
        <f t="shared" si="29"/>
        <v>0.13346844238563985</v>
      </c>
    </row>
    <row r="594" spans="1:15" x14ac:dyDescent="0.3">
      <c r="A594" s="2" t="s">
        <v>817</v>
      </c>
      <c r="B594" s="2" t="s">
        <v>815</v>
      </c>
      <c r="C594" s="2" t="s">
        <v>64</v>
      </c>
      <c r="D594" s="2" t="s">
        <v>28</v>
      </c>
      <c r="E594" s="2" t="s">
        <v>19</v>
      </c>
      <c r="F594" s="2" t="s">
        <v>67</v>
      </c>
      <c r="G594" s="3">
        <v>55141</v>
      </c>
      <c r="H594" s="3">
        <v>23168</v>
      </c>
      <c r="I594" s="3">
        <v>35502</v>
      </c>
      <c r="J594" s="3">
        <v>1185</v>
      </c>
      <c r="K594" s="3">
        <v>199</v>
      </c>
      <c r="L594" s="3">
        <v>297</v>
      </c>
      <c r="M594" s="3">
        <f t="shared" si="27"/>
        <v>1681</v>
      </c>
      <c r="N594" s="4">
        <f t="shared" si="28"/>
        <v>7.2556975138121552E-2</v>
      </c>
      <c r="O594" s="4">
        <f t="shared" si="29"/>
        <v>0.42015922816053392</v>
      </c>
    </row>
    <row r="595" spans="1:15" x14ac:dyDescent="0.3">
      <c r="A595" s="2" t="s">
        <v>818</v>
      </c>
      <c r="B595" s="2" t="s">
        <v>819</v>
      </c>
      <c r="C595" s="2" t="s">
        <v>39</v>
      </c>
      <c r="D595" s="2" t="s">
        <v>33</v>
      </c>
      <c r="E595" s="2" t="s">
        <v>29</v>
      </c>
      <c r="F595" s="2" t="s">
        <v>41</v>
      </c>
      <c r="G595" s="3">
        <v>32724</v>
      </c>
      <c r="H595" s="3">
        <v>12192</v>
      </c>
      <c r="I595" s="3">
        <v>19457</v>
      </c>
      <c r="J595" s="3">
        <v>484</v>
      </c>
      <c r="K595" s="3">
        <v>41</v>
      </c>
      <c r="L595" s="3">
        <v>179</v>
      </c>
      <c r="M595" s="3">
        <f t="shared" si="27"/>
        <v>704</v>
      </c>
      <c r="N595" s="4">
        <f t="shared" si="28"/>
        <v>5.774278215223097E-2</v>
      </c>
      <c r="O595" s="4">
        <f t="shared" si="29"/>
        <v>0.37257059039237256</v>
      </c>
    </row>
    <row r="596" spans="1:15" x14ac:dyDescent="0.3">
      <c r="A596" s="2" t="s">
        <v>820</v>
      </c>
      <c r="B596" s="2" t="s">
        <v>819</v>
      </c>
      <c r="C596" s="2" t="s">
        <v>52</v>
      </c>
      <c r="D596" s="2" t="s">
        <v>18</v>
      </c>
      <c r="E596" s="2" t="s">
        <v>40</v>
      </c>
      <c r="F596" s="2" t="s">
        <v>79</v>
      </c>
      <c r="G596" s="3">
        <v>24609</v>
      </c>
      <c r="H596" s="3">
        <v>7084</v>
      </c>
      <c r="I596" s="3">
        <v>12588</v>
      </c>
      <c r="J596" s="3">
        <v>362</v>
      </c>
      <c r="K596" s="3">
        <v>25</v>
      </c>
      <c r="L596" s="3">
        <v>88</v>
      </c>
      <c r="M596" s="3">
        <f t="shared" si="27"/>
        <v>475</v>
      </c>
      <c r="N596" s="4">
        <f t="shared" si="28"/>
        <v>6.7052512704686623E-2</v>
      </c>
      <c r="O596" s="4">
        <f t="shared" si="29"/>
        <v>0.28786216424885203</v>
      </c>
    </row>
    <row r="597" spans="1:15" x14ac:dyDescent="0.3">
      <c r="A597" s="2" t="s">
        <v>821</v>
      </c>
      <c r="B597" s="2" t="s">
        <v>819</v>
      </c>
      <c r="C597" s="2" t="s">
        <v>83</v>
      </c>
      <c r="D597" s="2" t="s">
        <v>23</v>
      </c>
      <c r="E597" s="2" t="s">
        <v>40</v>
      </c>
      <c r="F597" s="2" t="s">
        <v>79</v>
      </c>
      <c r="G597" s="3">
        <v>40495</v>
      </c>
      <c r="H597" s="3">
        <v>8297</v>
      </c>
      <c r="I597" s="3">
        <v>9365</v>
      </c>
      <c r="J597" s="3">
        <v>206</v>
      </c>
      <c r="K597" s="3">
        <v>30</v>
      </c>
      <c r="L597" s="3">
        <v>70</v>
      </c>
      <c r="M597" s="3">
        <f t="shared" si="27"/>
        <v>306</v>
      </c>
      <c r="N597" s="4">
        <f t="shared" si="28"/>
        <v>3.6880800289261176E-2</v>
      </c>
      <c r="O597" s="4">
        <f t="shared" si="29"/>
        <v>0.20488949252994196</v>
      </c>
    </row>
    <row r="598" spans="1:15" x14ac:dyDescent="0.3">
      <c r="A598" s="2" t="s">
        <v>822</v>
      </c>
      <c r="B598" s="2" t="s">
        <v>819</v>
      </c>
      <c r="C598" s="2" t="s">
        <v>73</v>
      </c>
      <c r="D598" s="2" t="s">
        <v>28</v>
      </c>
      <c r="E598" s="2" t="s">
        <v>24</v>
      </c>
      <c r="F598" s="2" t="s">
        <v>41</v>
      </c>
      <c r="G598" s="3">
        <v>54885</v>
      </c>
      <c r="H598" s="3">
        <v>17889</v>
      </c>
      <c r="I598" s="3">
        <v>20230</v>
      </c>
      <c r="J598" s="3">
        <v>202</v>
      </c>
      <c r="K598" s="3">
        <v>34</v>
      </c>
      <c r="L598" s="3">
        <v>23</v>
      </c>
      <c r="M598" s="3">
        <f t="shared" si="27"/>
        <v>259</v>
      </c>
      <c r="N598" s="4">
        <f t="shared" si="28"/>
        <v>1.447817094303762E-2</v>
      </c>
      <c r="O598" s="4">
        <f t="shared" si="29"/>
        <v>0.32593604810057392</v>
      </c>
    </row>
    <row r="599" spans="1:15" x14ac:dyDescent="0.3">
      <c r="A599" s="2" t="s">
        <v>823</v>
      </c>
      <c r="B599" s="2" t="s">
        <v>824</v>
      </c>
      <c r="C599" s="2" t="s">
        <v>27</v>
      </c>
      <c r="D599" s="2" t="s">
        <v>33</v>
      </c>
      <c r="E599" s="2" t="s">
        <v>29</v>
      </c>
      <c r="F599" s="2" t="s">
        <v>35</v>
      </c>
      <c r="G599" s="3">
        <v>32548</v>
      </c>
      <c r="H599" s="3">
        <v>9688</v>
      </c>
      <c r="I599" s="3">
        <v>11775</v>
      </c>
      <c r="J599" s="3">
        <v>404</v>
      </c>
      <c r="K599" s="3">
        <v>81</v>
      </c>
      <c r="L599" s="3">
        <v>74</v>
      </c>
      <c r="M599" s="3">
        <f t="shared" si="27"/>
        <v>559</v>
      </c>
      <c r="N599" s="4">
        <f t="shared" si="28"/>
        <v>5.7700247729149466E-2</v>
      </c>
      <c r="O599" s="4">
        <f t="shared" si="29"/>
        <v>0.29765269755438123</v>
      </c>
    </row>
    <row r="600" spans="1:15" x14ac:dyDescent="0.3">
      <c r="A600" s="2" t="s">
        <v>825</v>
      </c>
      <c r="B600" s="2" t="s">
        <v>824</v>
      </c>
      <c r="C600" s="2" t="s">
        <v>39</v>
      </c>
      <c r="D600" s="2" t="s">
        <v>28</v>
      </c>
      <c r="E600" s="2" t="s">
        <v>19</v>
      </c>
      <c r="F600" s="2" t="s">
        <v>20</v>
      </c>
      <c r="G600" s="3">
        <v>54724</v>
      </c>
      <c r="H600" s="3">
        <v>22937</v>
      </c>
      <c r="I600" s="3">
        <v>36565</v>
      </c>
      <c r="J600" s="3">
        <v>824</v>
      </c>
      <c r="K600" s="3">
        <v>147</v>
      </c>
      <c r="L600" s="3">
        <v>61</v>
      </c>
      <c r="M600" s="3">
        <f t="shared" si="27"/>
        <v>1032</v>
      </c>
      <c r="N600" s="4">
        <f t="shared" si="28"/>
        <v>4.4992806382700437E-2</v>
      </c>
      <c r="O600" s="4">
        <f t="shared" si="29"/>
        <v>0.4191396827717272</v>
      </c>
    </row>
    <row r="601" spans="1:15" x14ac:dyDescent="0.3">
      <c r="A601" s="2" t="s">
        <v>826</v>
      </c>
      <c r="B601" s="2" t="s">
        <v>824</v>
      </c>
      <c r="C601" s="2" t="s">
        <v>83</v>
      </c>
      <c r="D601" s="2" t="s">
        <v>28</v>
      </c>
      <c r="E601" s="2" t="s">
        <v>40</v>
      </c>
      <c r="F601" s="2" t="s">
        <v>79</v>
      </c>
      <c r="G601" s="3">
        <v>56849</v>
      </c>
      <c r="H601" s="3">
        <v>34936</v>
      </c>
      <c r="I601" s="3">
        <v>49624</v>
      </c>
      <c r="J601" s="3">
        <v>849</v>
      </c>
      <c r="K601" s="3">
        <v>72</v>
      </c>
      <c r="L601" s="3">
        <v>200</v>
      </c>
      <c r="M601" s="3">
        <f t="shared" si="27"/>
        <v>1121</v>
      </c>
      <c r="N601" s="4">
        <f t="shared" si="28"/>
        <v>3.2087245248454313E-2</v>
      </c>
      <c r="O601" s="4">
        <f t="shared" si="29"/>
        <v>0.6145402733557318</v>
      </c>
    </row>
    <row r="602" spans="1:15" x14ac:dyDescent="0.3">
      <c r="A602" s="2" t="s">
        <v>827</v>
      </c>
      <c r="B602" s="2" t="s">
        <v>828</v>
      </c>
      <c r="C602" s="2" t="s">
        <v>39</v>
      </c>
      <c r="D602" s="2" t="s">
        <v>33</v>
      </c>
      <c r="E602" s="2" t="s">
        <v>19</v>
      </c>
      <c r="F602" s="2" t="s">
        <v>20</v>
      </c>
      <c r="G602" s="3">
        <v>32895</v>
      </c>
      <c r="H602" s="3">
        <v>13226</v>
      </c>
      <c r="I602" s="3">
        <v>19763</v>
      </c>
      <c r="J602" s="3">
        <v>525</v>
      </c>
      <c r="K602" s="3">
        <v>115</v>
      </c>
      <c r="L602" s="3">
        <v>130</v>
      </c>
      <c r="M602" s="3">
        <f t="shared" si="27"/>
        <v>770</v>
      </c>
      <c r="N602" s="4">
        <f t="shared" si="28"/>
        <v>5.8218660214728567E-2</v>
      </c>
      <c r="O602" s="4">
        <f t="shared" si="29"/>
        <v>0.40206718346253228</v>
      </c>
    </row>
    <row r="603" spans="1:15" x14ac:dyDescent="0.3">
      <c r="A603" s="2" t="s">
        <v>829</v>
      </c>
      <c r="B603" s="2" t="s">
        <v>828</v>
      </c>
      <c r="C603" s="2" t="s">
        <v>49</v>
      </c>
      <c r="D603" s="2" t="s">
        <v>18</v>
      </c>
      <c r="E603" s="2" t="s">
        <v>40</v>
      </c>
      <c r="F603" s="2" t="s">
        <v>30</v>
      </c>
      <c r="G603" s="3">
        <v>23949</v>
      </c>
      <c r="H603" s="3">
        <v>4780</v>
      </c>
      <c r="I603" s="3">
        <v>5573</v>
      </c>
      <c r="J603" s="3">
        <v>157</v>
      </c>
      <c r="K603" s="3">
        <v>33</v>
      </c>
      <c r="L603" s="3">
        <v>37</v>
      </c>
      <c r="M603" s="3">
        <f t="shared" si="27"/>
        <v>227</v>
      </c>
      <c r="N603" s="4">
        <f t="shared" si="28"/>
        <v>4.7489539748953973E-2</v>
      </c>
      <c r="O603" s="4">
        <f t="shared" si="29"/>
        <v>0.19959079711052655</v>
      </c>
    </row>
    <row r="604" spans="1:15" x14ac:dyDescent="0.3">
      <c r="A604" s="2" t="s">
        <v>830</v>
      </c>
      <c r="B604" s="2" t="s">
        <v>828</v>
      </c>
      <c r="C604" s="2" t="s">
        <v>45</v>
      </c>
      <c r="D604" s="2" t="s">
        <v>23</v>
      </c>
      <c r="E604" s="2" t="s">
        <v>34</v>
      </c>
      <c r="F604" s="2" t="s">
        <v>79</v>
      </c>
      <c r="G604" s="3">
        <v>40640</v>
      </c>
      <c r="H604" s="3">
        <v>3712</v>
      </c>
      <c r="I604" s="3">
        <v>6241</v>
      </c>
      <c r="J604" s="3">
        <v>118</v>
      </c>
      <c r="K604" s="3">
        <v>24</v>
      </c>
      <c r="L604" s="3">
        <v>23</v>
      </c>
      <c r="M604" s="3">
        <f t="shared" si="27"/>
        <v>165</v>
      </c>
      <c r="N604" s="4">
        <f t="shared" si="28"/>
        <v>4.4450431034482756E-2</v>
      </c>
      <c r="O604" s="4">
        <f t="shared" si="29"/>
        <v>9.1338582677165353E-2</v>
      </c>
    </row>
    <row r="605" spans="1:15" x14ac:dyDescent="0.3">
      <c r="A605" s="2" t="s">
        <v>831</v>
      </c>
      <c r="B605" s="2" t="s">
        <v>828</v>
      </c>
      <c r="C605" s="2" t="s">
        <v>39</v>
      </c>
      <c r="D605" s="2" t="s">
        <v>28</v>
      </c>
      <c r="E605" s="2" t="s">
        <v>24</v>
      </c>
      <c r="F605" s="2" t="s">
        <v>47</v>
      </c>
      <c r="G605" s="3">
        <v>55443</v>
      </c>
      <c r="H605" s="3">
        <v>40224</v>
      </c>
      <c r="I605" s="3">
        <v>64922</v>
      </c>
      <c r="J605" s="3">
        <v>1202</v>
      </c>
      <c r="K605" s="3">
        <v>116</v>
      </c>
      <c r="L605" s="3">
        <v>317</v>
      </c>
      <c r="M605" s="3">
        <f t="shared" si="27"/>
        <v>1635</v>
      </c>
      <c r="N605" s="4">
        <f t="shared" si="28"/>
        <v>4.0647374701670645E-2</v>
      </c>
      <c r="O605" s="4">
        <f t="shared" si="29"/>
        <v>0.72550186678210049</v>
      </c>
    </row>
    <row r="606" spans="1:15" x14ac:dyDescent="0.3">
      <c r="A606" s="2" t="s">
        <v>832</v>
      </c>
      <c r="B606" s="2" t="s">
        <v>828</v>
      </c>
      <c r="C606" s="2" t="s">
        <v>22</v>
      </c>
      <c r="D606" s="2" t="s">
        <v>28</v>
      </c>
      <c r="E606" s="2" t="s">
        <v>46</v>
      </c>
      <c r="F606" s="2" t="s">
        <v>35</v>
      </c>
      <c r="G606" s="3">
        <v>55439</v>
      </c>
      <c r="H606" s="3">
        <v>15860</v>
      </c>
      <c r="I606" s="3">
        <v>18231</v>
      </c>
      <c r="J606" s="3">
        <v>388</v>
      </c>
      <c r="K606" s="3">
        <v>49</v>
      </c>
      <c r="L606" s="3">
        <v>113</v>
      </c>
      <c r="M606" s="3">
        <f t="shared" si="27"/>
        <v>550</v>
      </c>
      <c r="N606" s="4">
        <f t="shared" si="28"/>
        <v>3.467843631778058E-2</v>
      </c>
      <c r="O606" s="4">
        <f t="shared" si="29"/>
        <v>0.28608019625173614</v>
      </c>
    </row>
    <row r="607" spans="1:15" x14ac:dyDescent="0.3">
      <c r="A607" s="2" t="s">
        <v>833</v>
      </c>
      <c r="B607" s="2" t="s">
        <v>834</v>
      </c>
      <c r="C607" s="2" t="s">
        <v>22</v>
      </c>
      <c r="D607" s="2" t="s">
        <v>33</v>
      </c>
      <c r="E607" s="2" t="s">
        <v>40</v>
      </c>
      <c r="F607" s="2" t="s">
        <v>30</v>
      </c>
      <c r="G607" s="3">
        <v>31988</v>
      </c>
      <c r="H607" s="3">
        <v>7556</v>
      </c>
      <c r="I607" s="3">
        <v>10366</v>
      </c>
      <c r="J607" s="3">
        <v>298</v>
      </c>
      <c r="K607" s="3">
        <v>58</v>
      </c>
      <c r="L607" s="3">
        <v>44</v>
      </c>
      <c r="M607" s="3">
        <f t="shared" si="27"/>
        <v>400</v>
      </c>
      <c r="N607" s="4">
        <f t="shared" si="28"/>
        <v>5.293806246691371E-2</v>
      </c>
      <c r="O607" s="4">
        <f t="shared" si="29"/>
        <v>0.23621358009253471</v>
      </c>
    </row>
    <row r="608" spans="1:15" x14ac:dyDescent="0.3">
      <c r="A608" s="2" t="s">
        <v>835</v>
      </c>
      <c r="B608" s="2" t="s">
        <v>834</v>
      </c>
      <c r="C608" s="2" t="s">
        <v>64</v>
      </c>
      <c r="D608" s="2" t="s">
        <v>18</v>
      </c>
      <c r="E608" s="2" t="s">
        <v>40</v>
      </c>
      <c r="F608" s="2" t="s">
        <v>35</v>
      </c>
      <c r="G608" s="3">
        <v>24619</v>
      </c>
      <c r="H608" s="3">
        <v>5433</v>
      </c>
      <c r="I608" s="3">
        <v>7341</v>
      </c>
      <c r="J608" s="3">
        <v>117</v>
      </c>
      <c r="K608" s="3">
        <v>11</v>
      </c>
      <c r="L608" s="3">
        <v>39</v>
      </c>
      <c r="M608" s="3">
        <f t="shared" si="27"/>
        <v>167</v>
      </c>
      <c r="N608" s="4">
        <f t="shared" si="28"/>
        <v>3.0738082090925822E-2</v>
      </c>
      <c r="O608" s="4">
        <f t="shared" si="29"/>
        <v>0.22068321215321499</v>
      </c>
    </row>
    <row r="609" spans="1:15" x14ac:dyDescent="0.3">
      <c r="A609" s="2" t="s">
        <v>836</v>
      </c>
      <c r="B609" s="2" t="s">
        <v>834</v>
      </c>
      <c r="C609" s="2" t="s">
        <v>83</v>
      </c>
      <c r="D609" s="2" t="s">
        <v>50</v>
      </c>
      <c r="E609" s="2" t="s">
        <v>40</v>
      </c>
      <c r="F609" s="2" t="s">
        <v>30</v>
      </c>
      <c r="G609" s="3">
        <v>13179</v>
      </c>
      <c r="H609" s="3">
        <v>4039</v>
      </c>
      <c r="I609" s="3">
        <v>6178</v>
      </c>
      <c r="J609" s="3">
        <v>159</v>
      </c>
      <c r="K609" s="3">
        <v>12</v>
      </c>
      <c r="L609" s="3">
        <v>52</v>
      </c>
      <c r="M609" s="3">
        <f t="shared" si="27"/>
        <v>223</v>
      </c>
      <c r="N609" s="4">
        <f t="shared" si="28"/>
        <v>5.5211686060906165E-2</v>
      </c>
      <c r="O609" s="4">
        <f t="shared" si="29"/>
        <v>0.30647241824114119</v>
      </c>
    </row>
    <row r="610" spans="1:15" x14ac:dyDescent="0.3">
      <c r="A610" s="2" t="s">
        <v>837</v>
      </c>
      <c r="B610" s="2" t="s">
        <v>838</v>
      </c>
      <c r="C610" s="2" t="s">
        <v>17</v>
      </c>
      <c r="D610" s="2" t="s">
        <v>28</v>
      </c>
      <c r="E610" s="2" t="s">
        <v>34</v>
      </c>
      <c r="F610" s="2" t="s">
        <v>35</v>
      </c>
      <c r="G610" s="3">
        <v>55914</v>
      </c>
      <c r="H610" s="3">
        <v>16856</v>
      </c>
      <c r="I610" s="3">
        <v>27999</v>
      </c>
      <c r="J610" s="3">
        <v>450</v>
      </c>
      <c r="K610" s="3">
        <v>47</v>
      </c>
      <c r="L610" s="3">
        <v>102</v>
      </c>
      <c r="M610" s="3">
        <f t="shared" si="27"/>
        <v>599</v>
      </c>
      <c r="N610" s="4">
        <f t="shared" si="28"/>
        <v>3.5536307546274321E-2</v>
      </c>
      <c r="O610" s="4">
        <f t="shared" si="29"/>
        <v>0.30146296097578423</v>
      </c>
    </row>
    <row r="611" spans="1:15" x14ac:dyDescent="0.3">
      <c r="A611" s="2" t="s">
        <v>839</v>
      </c>
      <c r="B611" s="2" t="s">
        <v>840</v>
      </c>
      <c r="C611" s="2" t="s">
        <v>83</v>
      </c>
      <c r="D611" s="2" t="s">
        <v>33</v>
      </c>
      <c r="E611" s="2" t="s">
        <v>34</v>
      </c>
      <c r="F611" s="2" t="s">
        <v>30</v>
      </c>
      <c r="G611" s="3">
        <v>33248</v>
      </c>
      <c r="H611" s="3">
        <v>10593</v>
      </c>
      <c r="I611" s="3">
        <v>15438</v>
      </c>
      <c r="J611" s="3">
        <v>307</v>
      </c>
      <c r="K611" s="3">
        <v>53</v>
      </c>
      <c r="L611" s="3">
        <v>46</v>
      </c>
      <c r="M611" s="3">
        <f t="shared" si="27"/>
        <v>406</v>
      </c>
      <c r="N611" s="4">
        <f t="shared" si="28"/>
        <v>3.8327197205701879E-2</v>
      </c>
      <c r="O611" s="4">
        <f t="shared" si="29"/>
        <v>0.31860563041385948</v>
      </c>
    </row>
    <row r="612" spans="1:15" x14ac:dyDescent="0.3">
      <c r="A612" s="2" t="s">
        <v>841</v>
      </c>
      <c r="B612" s="2" t="s">
        <v>840</v>
      </c>
      <c r="C612" s="2" t="s">
        <v>52</v>
      </c>
      <c r="D612" s="2" t="s">
        <v>18</v>
      </c>
      <c r="E612" s="2" t="s">
        <v>24</v>
      </c>
      <c r="F612" s="2" t="s">
        <v>67</v>
      </c>
      <c r="G612" s="3">
        <v>23918</v>
      </c>
      <c r="H612" s="3">
        <v>5556</v>
      </c>
      <c r="I612" s="3">
        <v>6809</v>
      </c>
      <c r="J612" s="3">
        <v>66</v>
      </c>
      <c r="K612" s="3">
        <v>13</v>
      </c>
      <c r="L612" s="3">
        <v>22</v>
      </c>
      <c r="M612" s="3">
        <f t="shared" si="27"/>
        <v>101</v>
      </c>
      <c r="N612" s="4">
        <f t="shared" si="28"/>
        <v>1.8178545716342694E-2</v>
      </c>
      <c r="O612" s="4">
        <f t="shared" si="29"/>
        <v>0.23229367003930093</v>
      </c>
    </row>
    <row r="613" spans="1:15" x14ac:dyDescent="0.3">
      <c r="A613" s="2" t="s">
        <v>842</v>
      </c>
      <c r="B613" s="2" t="s">
        <v>840</v>
      </c>
      <c r="C613" s="2" t="s">
        <v>49</v>
      </c>
      <c r="D613" s="2" t="s">
        <v>18</v>
      </c>
      <c r="E613" s="2" t="s">
        <v>29</v>
      </c>
      <c r="F613" s="2" t="s">
        <v>47</v>
      </c>
      <c r="G613" s="3">
        <v>24543</v>
      </c>
      <c r="H613" s="3">
        <v>4662</v>
      </c>
      <c r="I613" s="3">
        <v>7764</v>
      </c>
      <c r="J613" s="3">
        <v>161</v>
      </c>
      <c r="K613" s="3">
        <v>14</v>
      </c>
      <c r="L613" s="3">
        <v>34</v>
      </c>
      <c r="M613" s="3">
        <f t="shared" si="27"/>
        <v>209</v>
      </c>
      <c r="N613" s="4">
        <f t="shared" si="28"/>
        <v>4.4830544830544827E-2</v>
      </c>
      <c r="O613" s="4">
        <f t="shared" si="29"/>
        <v>0.18995232856618996</v>
      </c>
    </row>
    <row r="614" spans="1:15" x14ac:dyDescent="0.3">
      <c r="A614" s="2" t="s">
        <v>843</v>
      </c>
      <c r="B614" s="2" t="s">
        <v>844</v>
      </c>
      <c r="C614" s="2" t="s">
        <v>45</v>
      </c>
      <c r="D614" s="2" t="s">
        <v>33</v>
      </c>
      <c r="E614" s="2" t="s">
        <v>34</v>
      </c>
      <c r="F614" s="2" t="s">
        <v>41</v>
      </c>
      <c r="G614" s="3">
        <v>32244</v>
      </c>
      <c r="H614" s="3">
        <v>7299</v>
      </c>
      <c r="I614" s="3">
        <v>10466</v>
      </c>
      <c r="J614" s="3">
        <v>262</v>
      </c>
      <c r="K614" s="3">
        <v>49</v>
      </c>
      <c r="L614" s="3">
        <v>25</v>
      </c>
      <c r="M614" s="3">
        <f t="shared" si="27"/>
        <v>336</v>
      </c>
      <c r="N614" s="4">
        <f t="shared" si="28"/>
        <v>4.6033703247020143E-2</v>
      </c>
      <c r="O614" s="4">
        <f t="shared" si="29"/>
        <v>0.22636769631559359</v>
      </c>
    </row>
    <row r="615" spans="1:15" x14ac:dyDescent="0.3">
      <c r="A615" s="2" t="s">
        <v>845</v>
      </c>
      <c r="B615" s="2" t="s">
        <v>844</v>
      </c>
      <c r="C615" s="2" t="s">
        <v>17</v>
      </c>
      <c r="D615" s="2" t="s">
        <v>23</v>
      </c>
      <c r="E615" s="2" t="s">
        <v>24</v>
      </c>
      <c r="F615" s="2" t="s">
        <v>79</v>
      </c>
      <c r="G615" s="3">
        <v>41750</v>
      </c>
      <c r="H615" s="3">
        <v>8969</v>
      </c>
      <c r="I615" s="3">
        <v>14104</v>
      </c>
      <c r="J615" s="3">
        <v>212</v>
      </c>
      <c r="K615" s="3">
        <v>20</v>
      </c>
      <c r="L615" s="3">
        <v>89</v>
      </c>
      <c r="M615" s="3">
        <f t="shared" si="27"/>
        <v>321</v>
      </c>
      <c r="N615" s="4">
        <f t="shared" si="28"/>
        <v>3.5789943137473523E-2</v>
      </c>
      <c r="O615" s="4">
        <f t="shared" si="29"/>
        <v>0.21482634730538921</v>
      </c>
    </row>
    <row r="616" spans="1:15" x14ac:dyDescent="0.3">
      <c r="A616" s="2" t="s">
        <v>846</v>
      </c>
      <c r="B616" s="2" t="s">
        <v>844</v>
      </c>
      <c r="C616" s="2" t="s">
        <v>17</v>
      </c>
      <c r="D616" s="2" t="s">
        <v>50</v>
      </c>
      <c r="E616" s="2" t="s">
        <v>19</v>
      </c>
      <c r="F616" s="2" t="s">
        <v>67</v>
      </c>
      <c r="G616" s="3">
        <v>12946</v>
      </c>
      <c r="H616" s="3">
        <v>3484</v>
      </c>
      <c r="I616" s="3">
        <v>5416</v>
      </c>
      <c r="J616" s="3">
        <v>116</v>
      </c>
      <c r="K616" s="3">
        <v>20</v>
      </c>
      <c r="L616" s="3">
        <v>20</v>
      </c>
      <c r="M616" s="3">
        <f t="shared" si="27"/>
        <v>156</v>
      </c>
      <c r="N616" s="4">
        <f t="shared" si="28"/>
        <v>4.4776119402985072E-2</v>
      </c>
      <c r="O616" s="4">
        <f t="shared" si="29"/>
        <v>0.26911787424687161</v>
      </c>
    </row>
    <row r="617" spans="1:15" x14ac:dyDescent="0.3">
      <c r="A617" s="2" t="s">
        <v>847</v>
      </c>
      <c r="B617" s="2" t="s">
        <v>844</v>
      </c>
      <c r="C617" s="2" t="s">
        <v>64</v>
      </c>
      <c r="D617" s="2" t="s">
        <v>50</v>
      </c>
      <c r="E617" s="2" t="s">
        <v>34</v>
      </c>
      <c r="F617" s="2" t="s">
        <v>35</v>
      </c>
      <c r="G617" s="3">
        <v>13239</v>
      </c>
      <c r="H617" s="3">
        <v>2039</v>
      </c>
      <c r="I617" s="3">
        <v>2845</v>
      </c>
      <c r="J617" s="3">
        <v>32</v>
      </c>
      <c r="K617" s="3">
        <v>5</v>
      </c>
      <c r="L617" s="3">
        <v>4</v>
      </c>
      <c r="M617" s="3">
        <f t="shared" si="27"/>
        <v>41</v>
      </c>
      <c r="N617" s="4">
        <f t="shared" si="28"/>
        <v>2.0107896027464444E-2</v>
      </c>
      <c r="O617" s="4">
        <f t="shared" si="29"/>
        <v>0.15401465367474884</v>
      </c>
    </row>
    <row r="618" spans="1:15" x14ac:dyDescent="0.3">
      <c r="A618" s="2" t="s">
        <v>848</v>
      </c>
      <c r="B618" s="2" t="s">
        <v>849</v>
      </c>
      <c r="C618" s="2" t="s">
        <v>73</v>
      </c>
      <c r="D618" s="2" t="s">
        <v>33</v>
      </c>
      <c r="E618" s="2" t="s">
        <v>24</v>
      </c>
      <c r="F618" s="2" t="s">
        <v>25</v>
      </c>
      <c r="G618" s="3">
        <v>32399</v>
      </c>
      <c r="H618" s="3">
        <v>10813</v>
      </c>
      <c r="I618" s="3">
        <v>18205</v>
      </c>
      <c r="J618" s="3">
        <v>84</v>
      </c>
      <c r="K618" s="3">
        <v>14</v>
      </c>
      <c r="L618" s="3">
        <v>32</v>
      </c>
      <c r="M618" s="3">
        <f t="shared" si="27"/>
        <v>130</v>
      </c>
      <c r="N618" s="4">
        <f t="shared" si="28"/>
        <v>1.2022565430500324E-2</v>
      </c>
      <c r="O618" s="4">
        <f t="shared" si="29"/>
        <v>0.33374486866878605</v>
      </c>
    </row>
    <row r="619" spans="1:15" x14ac:dyDescent="0.3">
      <c r="A619" s="2" t="s">
        <v>850</v>
      </c>
      <c r="B619" s="2" t="s">
        <v>849</v>
      </c>
      <c r="C619" s="2" t="s">
        <v>64</v>
      </c>
      <c r="D619" s="2" t="s">
        <v>18</v>
      </c>
      <c r="E619" s="2" t="s">
        <v>40</v>
      </c>
      <c r="F619" s="2" t="s">
        <v>35</v>
      </c>
      <c r="G619" s="3">
        <v>23907</v>
      </c>
      <c r="H619" s="3">
        <v>4301</v>
      </c>
      <c r="I619" s="3">
        <v>6276</v>
      </c>
      <c r="J619" s="3">
        <v>258</v>
      </c>
      <c r="K619" s="3">
        <v>45</v>
      </c>
      <c r="L619" s="3">
        <v>24</v>
      </c>
      <c r="M619" s="3">
        <f t="shared" si="27"/>
        <v>327</v>
      </c>
      <c r="N619" s="4">
        <f t="shared" si="28"/>
        <v>7.6028830504533823E-2</v>
      </c>
      <c r="O619" s="4">
        <f t="shared" si="29"/>
        <v>0.1799054670180282</v>
      </c>
    </row>
    <row r="620" spans="1:15" x14ac:dyDescent="0.3">
      <c r="A620" s="2" t="s">
        <v>851</v>
      </c>
      <c r="B620" s="2" t="s">
        <v>849</v>
      </c>
      <c r="C620" s="2" t="s">
        <v>45</v>
      </c>
      <c r="D620" s="2" t="s">
        <v>23</v>
      </c>
      <c r="E620" s="2" t="s">
        <v>34</v>
      </c>
      <c r="F620" s="2" t="s">
        <v>41</v>
      </c>
      <c r="G620" s="3">
        <v>41617</v>
      </c>
      <c r="H620" s="3">
        <v>6552</v>
      </c>
      <c r="I620" s="3">
        <v>8435</v>
      </c>
      <c r="J620" s="3">
        <v>226</v>
      </c>
      <c r="K620" s="3">
        <v>17</v>
      </c>
      <c r="L620" s="3">
        <v>46</v>
      </c>
      <c r="M620" s="3">
        <f t="shared" si="27"/>
        <v>289</v>
      </c>
      <c r="N620" s="4">
        <f t="shared" si="28"/>
        <v>4.4108669108669112E-2</v>
      </c>
      <c r="O620" s="4">
        <f t="shared" si="29"/>
        <v>0.1574356633106663</v>
      </c>
    </row>
    <row r="621" spans="1:15" x14ac:dyDescent="0.3">
      <c r="A621" s="2" t="s">
        <v>852</v>
      </c>
      <c r="B621" s="2" t="s">
        <v>849</v>
      </c>
      <c r="C621" s="2" t="s">
        <v>27</v>
      </c>
      <c r="D621" s="2" t="s">
        <v>23</v>
      </c>
      <c r="E621" s="2" t="s">
        <v>46</v>
      </c>
      <c r="F621" s="2" t="s">
        <v>79</v>
      </c>
      <c r="G621" s="3">
        <v>41404</v>
      </c>
      <c r="H621" s="3">
        <v>5840</v>
      </c>
      <c r="I621" s="3">
        <v>7083</v>
      </c>
      <c r="J621" s="3">
        <v>120</v>
      </c>
      <c r="K621" s="3">
        <v>15</v>
      </c>
      <c r="L621" s="3">
        <v>32</v>
      </c>
      <c r="M621" s="3">
        <f t="shared" si="27"/>
        <v>167</v>
      </c>
      <c r="N621" s="4">
        <f t="shared" si="28"/>
        <v>2.8595890410958905E-2</v>
      </c>
      <c r="O621" s="4">
        <f t="shared" si="29"/>
        <v>0.14104917399285094</v>
      </c>
    </row>
    <row r="622" spans="1:15" x14ac:dyDescent="0.3">
      <c r="A622" s="2" t="s">
        <v>853</v>
      </c>
      <c r="B622" s="2" t="s">
        <v>849</v>
      </c>
      <c r="C622" s="2" t="s">
        <v>73</v>
      </c>
      <c r="D622" s="2" t="s">
        <v>50</v>
      </c>
      <c r="E622" s="2" t="s">
        <v>29</v>
      </c>
      <c r="F622" s="2" t="s">
        <v>47</v>
      </c>
      <c r="G622" s="3">
        <v>12922</v>
      </c>
      <c r="H622" s="3">
        <v>2422</v>
      </c>
      <c r="I622" s="3">
        <v>3870</v>
      </c>
      <c r="J622" s="3">
        <v>130</v>
      </c>
      <c r="K622" s="3">
        <v>19</v>
      </c>
      <c r="L622" s="3">
        <v>20</v>
      </c>
      <c r="M622" s="3">
        <f t="shared" si="27"/>
        <v>169</v>
      </c>
      <c r="N622" s="4">
        <f t="shared" si="28"/>
        <v>6.9777043765483077E-2</v>
      </c>
      <c r="O622" s="4">
        <f t="shared" si="29"/>
        <v>0.18743228602383533</v>
      </c>
    </row>
    <row r="623" spans="1:15" x14ac:dyDescent="0.3">
      <c r="A623" s="2" t="s">
        <v>854</v>
      </c>
      <c r="B623" s="2" t="s">
        <v>849</v>
      </c>
      <c r="C623" s="2" t="s">
        <v>49</v>
      </c>
      <c r="D623" s="2" t="s">
        <v>28</v>
      </c>
      <c r="E623" s="2" t="s">
        <v>19</v>
      </c>
      <c r="F623" s="2" t="s">
        <v>25</v>
      </c>
      <c r="G623" s="3">
        <v>55723</v>
      </c>
      <c r="H623" s="3">
        <v>41068</v>
      </c>
      <c r="I623" s="3">
        <v>64351</v>
      </c>
      <c r="J623" s="3">
        <v>754</v>
      </c>
      <c r="K623" s="3">
        <v>122</v>
      </c>
      <c r="L623" s="3">
        <v>234</v>
      </c>
      <c r="M623" s="3">
        <f t="shared" si="27"/>
        <v>1110</v>
      </c>
      <c r="N623" s="4">
        <f t="shared" si="28"/>
        <v>2.7028343235609233E-2</v>
      </c>
      <c r="O623" s="4">
        <f t="shared" si="29"/>
        <v>0.73700267394074259</v>
      </c>
    </row>
    <row r="624" spans="1:15" x14ac:dyDescent="0.3">
      <c r="A624" s="2" t="s">
        <v>855</v>
      </c>
      <c r="B624" s="2" t="s">
        <v>856</v>
      </c>
      <c r="C624" s="2" t="s">
        <v>27</v>
      </c>
      <c r="D624" s="2" t="s">
        <v>23</v>
      </c>
      <c r="E624" s="2" t="s">
        <v>24</v>
      </c>
      <c r="F624" s="2" t="s">
        <v>67</v>
      </c>
      <c r="G624" s="3">
        <v>42375</v>
      </c>
      <c r="H624" s="3">
        <v>5518</v>
      </c>
      <c r="I624" s="3">
        <v>7077</v>
      </c>
      <c r="J624" s="3">
        <v>118</v>
      </c>
      <c r="K624" s="3">
        <v>23</v>
      </c>
      <c r="L624" s="3">
        <v>34</v>
      </c>
      <c r="M624" s="3">
        <f t="shared" si="27"/>
        <v>175</v>
      </c>
      <c r="N624" s="4">
        <f t="shared" si="28"/>
        <v>3.1714389271475171E-2</v>
      </c>
      <c r="O624" s="4">
        <f t="shared" si="29"/>
        <v>0.13021828908554572</v>
      </c>
    </row>
    <row r="625" spans="1:15" x14ac:dyDescent="0.3">
      <c r="A625" s="2" t="s">
        <v>857</v>
      </c>
      <c r="B625" s="2" t="s">
        <v>856</v>
      </c>
      <c r="C625" s="2" t="s">
        <v>39</v>
      </c>
      <c r="D625" s="2" t="s">
        <v>50</v>
      </c>
      <c r="E625" s="2" t="s">
        <v>40</v>
      </c>
      <c r="F625" s="2" t="s">
        <v>30</v>
      </c>
      <c r="G625" s="3">
        <v>13195</v>
      </c>
      <c r="H625" s="3">
        <v>1949</v>
      </c>
      <c r="I625" s="3">
        <v>2449</v>
      </c>
      <c r="J625" s="3">
        <v>57</v>
      </c>
      <c r="K625" s="3">
        <v>7</v>
      </c>
      <c r="L625" s="3">
        <v>18</v>
      </c>
      <c r="M625" s="3">
        <f t="shared" si="27"/>
        <v>82</v>
      </c>
      <c r="N625" s="4">
        <f t="shared" si="28"/>
        <v>4.2072857875833758E-2</v>
      </c>
      <c r="O625" s="4">
        <f t="shared" si="29"/>
        <v>0.14770746494884426</v>
      </c>
    </row>
    <row r="626" spans="1:15" x14ac:dyDescent="0.3">
      <c r="A626" s="2" t="s">
        <v>858</v>
      </c>
      <c r="B626" s="2" t="s">
        <v>856</v>
      </c>
      <c r="C626" s="2" t="s">
        <v>64</v>
      </c>
      <c r="D626" s="2" t="s">
        <v>50</v>
      </c>
      <c r="E626" s="2" t="s">
        <v>24</v>
      </c>
      <c r="F626" s="2" t="s">
        <v>35</v>
      </c>
      <c r="G626" s="3">
        <v>13342</v>
      </c>
      <c r="H626" s="3">
        <v>4219</v>
      </c>
      <c r="I626" s="3">
        <v>7221</v>
      </c>
      <c r="J626" s="3">
        <v>82</v>
      </c>
      <c r="K626" s="3">
        <v>6</v>
      </c>
      <c r="L626" s="3">
        <v>36</v>
      </c>
      <c r="M626" s="3">
        <f t="shared" si="27"/>
        <v>124</v>
      </c>
      <c r="N626" s="4">
        <f t="shared" si="28"/>
        <v>2.9390850912538517E-2</v>
      </c>
      <c r="O626" s="4">
        <f t="shared" si="29"/>
        <v>0.31621945735272072</v>
      </c>
    </row>
    <row r="627" spans="1:15" x14ac:dyDescent="0.3">
      <c r="A627" s="2" t="s">
        <v>859</v>
      </c>
      <c r="B627" s="2" t="s">
        <v>860</v>
      </c>
      <c r="C627" s="2" t="s">
        <v>27</v>
      </c>
      <c r="D627" s="2" t="s">
        <v>18</v>
      </c>
      <c r="E627" s="2" t="s">
        <v>24</v>
      </c>
      <c r="F627" s="2" t="s">
        <v>30</v>
      </c>
      <c r="G627" s="3">
        <v>24131</v>
      </c>
      <c r="H627" s="3">
        <v>2982</v>
      </c>
      <c r="I627" s="3">
        <v>3708</v>
      </c>
      <c r="J627" s="3">
        <v>49</v>
      </c>
      <c r="K627" s="3">
        <v>7</v>
      </c>
      <c r="L627" s="3">
        <v>9</v>
      </c>
      <c r="M627" s="3">
        <f t="shared" si="27"/>
        <v>65</v>
      </c>
      <c r="N627" s="4">
        <f t="shared" si="28"/>
        <v>2.1797451374916163E-2</v>
      </c>
      <c r="O627" s="4">
        <f t="shared" si="29"/>
        <v>0.12357548381749617</v>
      </c>
    </row>
    <row r="628" spans="1:15" x14ac:dyDescent="0.3">
      <c r="A628" s="2" t="s">
        <v>861</v>
      </c>
      <c r="B628" s="2" t="s">
        <v>860</v>
      </c>
      <c r="C628" s="2" t="s">
        <v>17</v>
      </c>
      <c r="D628" s="2" t="s">
        <v>23</v>
      </c>
      <c r="E628" s="2" t="s">
        <v>19</v>
      </c>
      <c r="F628" s="2" t="s">
        <v>79</v>
      </c>
      <c r="G628" s="3">
        <v>41382</v>
      </c>
      <c r="H628" s="3">
        <v>4108</v>
      </c>
      <c r="I628" s="3">
        <v>6959</v>
      </c>
      <c r="J628" s="3">
        <v>131</v>
      </c>
      <c r="K628" s="3">
        <v>23</v>
      </c>
      <c r="L628" s="3">
        <v>31</v>
      </c>
      <c r="M628" s="3">
        <f t="shared" si="27"/>
        <v>185</v>
      </c>
      <c r="N628" s="4">
        <f t="shared" si="28"/>
        <v>4.5034079844206425E-2</v>
      </c>
      <c r="O628" s="4">
        <f t="shared" si="29"/>
        <v>9.9270214102749985E-2</v>
      </c>
    </row>
    <row r="629" spans="1:15" x14ac:dyDescent="0.3">
      <c r="A629" s="2" t="s">
        <v>862</v>
      </c>
      <c r="B629" s="2" t="s">
        <v>860</v>
      </c>
      <c r="C629" s="2" t="s">
        <v>27</v>
      </c>
      <c r="D629" s="2" t="s">
        <v>28</v>
      </c>
      <c r="E629" s="2" t="s">
        <v>19</v>
      </c>
      <c r="F629" s="2" t="s">
        <v>30</v>
      </c>
      <c r="G629" s="3">
        <v>55911</v>
      </c>
      <c r="H629" s="3">
        <v>39969</v>
      </c>
      <c r="I629" s="3">
        <v>55577</v>
      </c>
      <c r="J629" s="3">
        <v>1546</v>
      </c>
      <c r="K629" s="3">
        <v>282</v>
      </c>
      <c r="L629" s="3">
        <v>423</v>
      </c>
      <c r="M629" s="3">
        <f t="shared" si="27"/>
        <v>2251</v>
      </c>
      <c r="N629" s="4">
        <f t="shared" si="28"/>
        <v>5.6318646951387323E-2</v>
      </c>
      <c r="O629" s="4">
        <f t="shared" si="29"/>
        <v>0.71486827279068521</v>
      </c>
    </row>
    <row r="630" spans="1:15" x14ac:dyDescent="0.3">
      <c r="A630" s="2" t="s">
        <v>863</v>
      </c>
      <c r="B630" s="2" t="s">
        <v>864</v>
      </c>
      <c r="C630" s="2" t="s">
        <v>39</v>
      </c>
      <c r="D630" s="2" t="s">
        <v>33</v>
      </c>
      <c r="E630" s="2" t="s">
        <v>40</v>
      </c>
      <c r="F630" s="2" t="s">
        <v>41</v>
      </c>
      <c r="G630" s="3">
        <v>33518</v>
      </c>
      <c r="H630" s="3">
        <v>14160</v>
      </c>
      <c r="I630" s="3">
        <v>25010</v>
      </c>
      <c r="J630" s="3">
        <v>812</v>
      </c>
      <c r="K630" s="3">
        <v>96</v>
      </c>
      <c r="L630" s="3">
        <v>119</v>
      </c>
      <c r="M630" s="3">
        <f t="shared" si="27"/>
        <v>1027</v>
      </c>
      <c r="N630" s="4">
        <f t="shared" si="28"/>
        <v>7.2528248587570621E-2</v>
      </c>
      <c r="O630" s="4">
        <f t="shared" si="29"/>
        <v>0.42245957396026018</v>
      </c>
    </row>
    <row r="631" spans="1:15" x14ac:dyDescent="0.3">
      <c r="A631" s="2" t="s">
        <v>865</v>
      </c>
      <c r="B631" s="2" t="s">
        <v>864</v>
      </c>
      <c r="C631" s="2" t="s">
        <v>45</v>
      </c>
      <c r="D631" s="2" t="s">
        <v>23</v>
      </c>
      <c r="E631" s="2" t="s">
        <v>29</v>
      </c>
      <c r="F631" s="2" t="s">
        <v>79</v>
      </c>
      <c r="G631" s="3">
        <v>41549</v>
      </c>
      <c r="H631" s="3">
        <v>7816</v>
      </c>
      <c r="I631" s="3">
        <v>10972</v>
      </c>
      <c r="J631" s="3">
        <v>255</v>
      </c>
      <c r="K631" s="3">
        <v>21</v>
      </c>
      <c r="L631" s="3">
        <v>48</v>
      </c>
      <c r="M631" s="3">
        <f t="shared" si="27"/>
        <v>324</v>
      </c>
      <c r="N631" s="4">
        <f t="shared" si="28"/>
        <v>4.1453428863868984E-2</v>
      </c>
      <c r="O631" s="4">
        <f t="shared" si="29"/>
        <v>0.18811523743050373</v>
      </c>
    </row>
    <row r="632" spans="1:15" x14ac:dyDescent="0.3">
      <c r="A632" s="2" t="s">
        <v>866</v>
      </c>
      <c r="B632" s="2" t="s">
        <v>864</v>
      </c>
      <c r="C632" s="2" t="s">
        <v>52</v>
      </c>
      <c r="D632" s="2" t="s">
        <v>23</v>
      </c>
      <c r="E632" s="2" t="s">
        <v>34</v>
      </c>
      <c r="F632" s="2" t="s">
        <v>35</v>
      </c>
      <c r="G632" s="3">
        <v>41578</v>
      </c>
      <c r="H632" s="3">
        <v>8482</v>
      </c>
      <c r="I632" s="3">
        <v>13491</v>
      </c>
      <c r="J632" s="3">
        <v>383</v>
      </c>
      <c r="K632" s="3">
        <v>46</v>
      </c>
      <c r="L632" s="3">
        <v>121</v>
      </c>
      <c r="M632" s="3">
        <f t="shared" si="27"/>
        <v>550</v>
      </c>
      <c r="N632" s="4">
        <f t="shared" si="28"/>
        <v>6.4843197359113411E-2</v>
      </c>
      <c r="O632" s="4">
        <f t="shared" si="29"/>
        <v>0.20400211650392033</v>
      </c>
    </row>
    <row r="633" spans="1:15" x14ac:dyDescent="0.3">
      <c r="A633" s="2" t="s">
        <v>867</v>
      </c>
      <c r="B633" s="2" t="s">
        <v>868</v>
      </c>
      <c r="C633" s="2" t="s">
        <v>17</v>
      </c>
      <c r="D633" s="2" t="s">
        <v>33</v>
      </c>
      <c r="E633" s="2" t="s">
        <v>46</v>
      </c>
      <c r="F633" s="2" t="s">
        <v>25</v>
      </c>
      <c r="G633" s="3">
        <v>33523</v>
      </c>
      <c r="H633" s="3">
        <v>11685</v>
      </c>
      <c r="I633" s="3">
        <v>17909</v>
      </c>
      <c r="J633" s="3">
        <v>210</v>
      </c>
      <c r="K633" s="3">
        <v>31</v>
      </c>
      <c r="L633" s="3">
        <v>32</v>
      </c>
      <c r="M633" s="3">
        <f t="shared" si="27"/>
        <v>273</v>
      </c>
      <c r="N633" s="4">
        <f t="shared" si="28"/>
        <v>2.3363286264441591E-2</v>
      </c>
      <c r="O633" s="4">
        <f t="shared" si="29"/>
        <v>0.34856665572890255</v>
      </c>
    </row>
    <row r="634" spans="1:15" x14ac:dyDescent="0.3">
      <c r="A634" s="2" t="s">
        <v>869</v>
      </c>
      <c r="B634" s="2" t="s">
        <v>868</v>
      </c>
      <c r="C634" s="2" t="s">
        <v>39</v>
      </c>
      <c r="D634" s="2" t="s">
        <v>23</v>
      </c>
      <c r="E634" s="2" t="s">
        <v>40</v>
      </c>
      <c r="F634" s="2" t="s">
        <v>20</v>
      </c>
      <c r="G634" s="3">
        <v>41803</v>
      </c>
      <c r="H634" s="3">
        <v>6509</v>
      </c>
      <c r="I634" s="3">
        <v>8133</v>
      </c>
      <c r="J634" s="3">
        <v>308</v>
      </c>
      <c r="K634" s="3">
        <v>49</v>
      </c>
      <c r="L634" s="3">
        <v>83</v>
      </c>
      <c r="M634" s="3">
        <f t="shared" si="27"/>
        <v>440</v>
      </c>
      <c r="N634" s="4">
        <f t="shared" si="28"/>
        <v>6.7598709479182673E-2</v>
      </c>
      <c r="O634" s="4">
        <f t="shared" si="29"/>
        <v>0.15570652823960002</v>
      </c>
    </row>
    <row r="635" spans="1:15" x14ac:dyDescent="0.3">
      <c r="A635" s="2" t="s">
        <v>870</v>
      </c>
      <c r="B635" s="2" t="s">
        <v>868</v>
      </c>
      <c r="C635" s="2" t="s">
        <v>55</v>
      </c>
      <c r="D635" s="2" t="s">
        <v>50</v>
      </c>
      <c r="E635" s="2" t="s">
        <v>24</v>
      </c>
      <c r="F635" s="2" t="s">
        <v>35</v>
      </c>
      <c r="G635" s="3">
        <v>13067</v>
      </c>
      <c r="H635" s="3">
        <v>3894</v>
      </c>
      <c r="I635" s="3">
        <v>6263</v>
      </c>
      <c r="J635" s="3">
        <v>114</v>
      </c>
      <c r="K635" s="3">
        <v>15</v>
      </c>
      <c r="L635" s="3">
        <v>44</v>
      </c>
      <c r="M635" s="3">
        <f t="shared" si="27"/>
        <v>173</v>
      </c>
      <c r="N635" s="4">
        <f t="shared" si="28"/>
        <v>4.442732408834104E-2</v>
      </c>
      <c r="O635" s="4">
        <f t="shared" si="29"/>
        <v>0.29800260197443945</v>
      </c>
    </row>
    <row r="636" spans="1:15" x14ac:dyDescent="0.3">
      <c r="A636" s="2" t="s">
        <v>871</v>
      </c>
      <c r="B636" s="2" t="s">
        <v>868</v>
      </c>
      <c r="C636" s="2" t="s">
        <v>73</v>
      </c>
      <c r="D636" s="2" t="s">
        <v>28</v>
      </c>
      <c r="E636" s="2" t="s">
        <v>46</v>
      </c>
      <c r="F636" s="2" t="s">
        <v>30</v>
      </c>
      <c r="G636" s="3">
        <v>56474</v>
      </c>
      <c r="H636" s="3">
        <v>35131</v>
      </c>
      <c r="I636" s="3">
        <v>38772</v>
      </c>
      <c r="J636" s="3">
        <v>532</v>
      </c>
      <c r="K636" s="3">
        <v>75</v>
      </c>
      <c r="L636" s="3">
        <v>92</v>
      </c>
      <c r="M636" s="3">
        <f t="shared" si="27"/>
        <v>699</v>
      </c>
      <c r="N636" s="4">
        <f t="shared" si="28"/>
        <v>1.9896957103412941E-2</v>
      </c>
      <c r="O636" s="4">
        <f t="shared" si="29"/>
        <v>0.62207387470340336</v>
      </c>
    </row>
    <row r="637" spans="1:15" x14ac:dyDescent="0.3">
      <c r="A637" s="2" t="s">
        <v>872</v>
      </c>
      <c r="B637" s="2" t="s">
        <v>868</v>
      </c>
      <c r="C637" s="2" t="s">
        <v>17</v>
      </c>
      <c r="D637" s="2" t="s">
        <v>28</v>
      </c>
      <c r="E637" s="2" t="s">
        <v>46</v>
      </c>
      <c r="F637" s="2" t="s">
        <v>25</v>
      </c>
      <c r="G637" s="3">
        <v>56252</v>
      </c>
      <c r="H637" s="3">
        <v>24466</v>
      </c>
      <c r="I637" s="3">
        <v>40353</v>
      </c>
      <c r="J637" s="3">
        <v>620</v>
      </c>
      <c r="K637" s="3">
        <v>83</v>
      </c>
      <c r="L637" s="3">
        <v>117</v>
      </c>
      <c r="M637" s="3">
        <f t="shared" si="27"/>
        <v>820</v>
      </c>
      <c r="N637" s="4">
        <f t="shared" si="28"/>
        <v>3.3515899615793349E-2</v>
      </c>
      <c r="O637" s="4">
        <f t="shared" si="29"/>
        <v>0.43493564673256063</v>
      </c>
    </row>
    <row r="638" spans="1:15" x14ac:dyDescent="0.3">
      <c r="A638" s="2" t="s">
        <v>873</v>
      </c>
      <c r="B638" s="2" t="s">
        <v>874</v>
      </c>
      <c r="C638" s="2" t="s">
        <v>22</v>
      </c>
      <c r="D638" s="2" t="s">
        <v>33</v>
      </c>
      <c r="E638" s="2" t="s">
        <v>19</v>
      </c>
      <c r="F638" s="2" t="s">
        <v>79</v>
      </c>
      <c r="G638" s="3">
        <v>32994</v>
      </c>
      <c r="H638" s="3">
        <v>7244</v>
      </c>
      <c r="I638" s="3">
        <v>10126</v>
      </c>
      <c r="J638" s="3">
        <v>209</v>
      </c>
      <c r="K638" s="3">
        <v>29</v>
      </c>
      <c r="L638" s="3">
        <v>77</v>
      </c>
      <c r="M638" s="3">
        <f t="shared" si="27"/>
        <v>315</v>
      </c>
      <c r="N638" s="4">
        <f t="shared" si="28"/>
        <v>4.3484262838210934E-2</v>
      </c>
      <c r="O638" s="4">
        <f t="shared" si="29"/>
        <v>0.21955507061890039</v>
      </c>
    </row>
    <row r="639" spans="1:15" x14ac:dyDescent="0.3">
      <c r="A639" s="2" t="s">
        <v>875</v>
      </c>
      <c r="B639" s="2" t="s">
        <v>874</v>
      </c>
      <c r="C639" s="2" t="s">
        <v>64</v>
      </c>
      <c r="D639" s="2" t="s">
        <v>18</v>
      </c>
      <c r="E639" s="2" t="s">
        <v>29</v>
      </c>
      <c r="F639" s="2" t="s">
        <v>41</v>
      </c>
      <c r="G639" s="3">
        <v>24642</v>
      </c>
      <c r="H639" s="3">
        <v>5021</v>
      </c>
      <c r="I639" s="3">
        <v>6910</v>
      </c>
      <c r="J639" s="3">
        <v>116</v>
      </c>
      <c r="K639" s="3">
        <v>14</v>
      </c>
      <c r="L639" s="3">
        <v>31</v>
      </c>
      <c r="M639" s="3">
        <f t="shared" si="27"/>
        <v>161</v>
      </c>
      <c r="N639" s="4">
        <f t="shared" si="28"/>
        <v>3.2065325632344155E-2</v>
      </c>
      <c r="O639" s="4">
        <f t="shared" si="29"/>
        <v>0.20375781186591999</v>
      </c>
    </row>
    <row r="640" spans="1:15" x14ac:dyDescent="0.3">
      <c r="A640" s="2" t="s">
        <v>876</v>
      </c>
      <c r="B640" s="2" t="s">
        <v>877</v>
      </c>
      <c r="C640" s="2" t="s">
        <v>64</v>
      </c>
      <c r="D640" s="2" t="s">
        <v>33</v>
      </c>
      <c r="E640" s="2" t="s">
        <v>24</v>
      </c>
      <c r="F640" s="2" t="s">
        <v>20</v>
      </c>
      <c r="G640" s="3">
        <v>33079</v>
      </c>
      <c r="H640" s="3">
        <v>10042</v>
      </c>
      <c r="I640" s="3">
        <v>17850</v>
      </c>
      <c r="J640" s="3">
        <v>194</v>
      </c>
      <c r="K640" s="3">
        <v>31</v>
      </c>
      <c r="L640" s="3">
        <v>42</v>
      </c>
      <c r="M640" s="3">
        <f t="shared" si="27"/>
        <v>267</v>
      </c>
      <c r="N640" s="4">
        <f t="shared" si="28"/>
        <v>2.6588329018123878E-2</v>
      </c>
      <c r="O640" s="4">
        <f t="shared" si="29"/>
        <v>0.30357628707034673</v>
      </c>
    </row>
    <row r="641" spans="1:15" x14ac:dyDescent="0.3">
      <c r="A641" s="2" t="s">
        <v>878</v>
      </c>
      <c r="B641" s="2" t="s">
        <v>877</v>
      </c>
      <c r="C641" s="2" t="s">
        <v>27</v>
      </c>
      <c r="D641" s="2" t="s">
        <v>18</v>
      </c>
      <c r="E641" s="2" t="s">
        <v>24</v>
      </c>
      <c r="F641" s="2" t="s">
        <v>79</v>
      </c>
      <c r="G641" s="3">
        <v>25002</v>
      </c>
      <c r="H641" s="3">
        <v>3094</v>
      </c>
      <c r="I641" s="3">
        <v>5249</v>
      </c>
      <c r="J641" s="3">
        <v>30</v>
      </c>
      <c r="K641" s="3">
        <v>3</v>
      </c>
      <c r="L641" s="3">
        <v>10</v>
      </c>
      <c r="M641" s="3">
        <f t="shared" si="27"/>
        <v>43</v>
      </c>
      <c r="N641" s="4">
        <f t="shared" si="28"/>
        <v>1.3897866839043309E-2</v>
      </c>
      <c r="O641" s="4">
        <f t="shared" si="29"/>
        <v>0.12375009999200064</v>
      </c>
    </row>
    <row r="642" spans="1:15" x14ac:dyDescent="0.3">
      <c r="A642" s="2" t="s">
        <v>879</v>
      </c>
      <c r="B642" s="2" t="s">
        <v>877</v>
      </c>
      <c r="C642" s="2" t="s">
        <v>52</v>
      </c>
      <c r="D642" s="2" t="s">
        <v>23</v>
      </c>
      <c r="E642" s="2" t="s">
        <v>29</v>
      </c>
      <c r="F642" s="2" t="s">
        <v>35</v>
      </c>
      <c r="G642" s="3">
        <v>41535</v>
      </c>
      <c r="H642" s="3">
        <v>3485</v>
      </c>
      <c r="I642" s="3">
        <v>4182</v>
      </c>
      <c r="J642" s="3">
        <v>149</v>
      </c>
      <c r="K642" s="3">
        <v>30</v>
      </c>
      <c r="L642" s="3">
        <v>31</v>
      </c>
      <c r="M642" s="3">
        <f t="shared" ref="M642:M705" si="30">SUM(J642:L642)</f>
        <v>210</v>
      </c>
      <c r="N642" s="4">
        <f t="shared" ref="N642:N705" si="31">IFERROR(M642/H642,0)</f>
        <v>6.0258249641319941E-2</v>
      </c>
      <c r="O642" s="4">
        <f t="shared" ref="O642:O684" si="32">IFERROR(H642/G642,0)</f>
        <v>8.3905140243168419E-2</v>
      </c>
    </row>
    <row r="643" spans="1:15" x14ac:dyDescent="0.3">
      <c r="A643" s="2" t="s">
        <v>880</v>
      </c>
      <c r="B643" s="2" t="s">
        <v>877</v>
      </c>
      <c r="C643" s="2" t="s">
        <v>83</v>
      </c>
      <c r="D643" s="2" t="s">
        <v>28</v>
      </c>
      <c r="E643" s="2" t="s">
        <v>40</v>
      </c>
      <c r="F643" s="2" t="s">
        <v>67</v>
      </c>
      <c r="G643" s="3">
        <v>55884</v>
      </c>
      <c r="H643" s="3">
        <v>26635</v>
      </c>
      <c r="I643" s="3">
        <v>45527</v>
      </c>
      <c r="J643" s="3">
        <v>1059</v>
      </c>
      <c r="K643" s="3">
        <v>153</v>
      </c>
      <c r="L643" s="3">
        <v>228</v>
      </c>
      <c r="M643" s="3">
        <f t="shared" si="30"/>
        <v>1440</v>
      </c>
      <c r="N643" s="4">
        <f t="shared" si="31"/>
        <v>5.4064201238971279E-2</v>
      </c>
      <c r="O643" s="4">
        <f t="shared" si="32"/>
        <v>0.47661226826998782</v>
      </c>
    </row>
    <row r="644" spans="1:15" x14ac:dyDescent="0.3">
      <c r="A644" s="2" t="s">
        <v>881</v>
      </c>
      <c r="B644" s="2" t="s">
        <v>882</v>
      </c>
      <c r="C644" s="2" t="s">
        <v>83</v>
      </c>
      <c r="D644" s="2" t="s">
        <v>18</v>
      </c>
      <c r="E644" s="2" t="s">
        <v>24</v>
      </c>
      <c r="F644" s="2" t="s">
        <v>20</v>
      </c>
      <c r="G644" s="3">
        <v>24878</v>
      </c>
      <c r="H644" s="3">
        <v>4999</v>
      </c>
      <c r="I644" s="3">
        <v>7111</v>
      </c>
      <c r="J644" s="3">
        <v>88</v>
      </c>
      <c r="K644" s="3">
        <v>16</v>
      </c>
      <c r="L644" s="3">
        <v>19</v>
      </c>
      <c r="M644" s="3">
        <f t="shared" si="30"/>
        <v>123</v>
      </c>
      <c r="N644" s="4">
        <f t="shared" si="31"/>
        <v>2.4604920984196841E-2</v>
      </c>
      <c r="O644" s="4">
        <f t="shared" si="32"/>
        <v>0.20094059007958839</v>
      </c>
    </row>
    <row r="645" spans="1:15" x14ac:dyDescent="0.3">
      <c r="A645" s="2" t="s">
        <v>883</v>
      </c>
      <c r="B645" s="2" t="s">
        <v>882</v>
      </c>
      <c r="C645" s="2" t="s">
        <v>52</v>
      </c>
      <c r="D645" s="2" t="s">
        <v>23</v>
      </c>
      <c r="E645" s="2" t="s">
        <v>24</v>
      </c>
      <c r="F645" s="2" t="s">
        <v>41</v>
      </c>
      <c r="G645" s="3">
        <v>41747</v>
      </c>
      <c r="H645" s="3">
        <v>8601</v>
      </c>
      <c r="I645" s="3">
        <v>11502</v>
      </c>
      <c r="J645" s="3">
        <v>76</v>
      </c>
      <c r="K645" s="3">
        <v>9</v>
      </c>
      <c r="L645" s="3">
        <v>17</v>
      </c>
      <c r="M645" s="3">
        <f t="shared" si="30"/>
        <v>102</v>
      </c>
      <c r="N645" s="4">
        <f t="shared" si="31"/>
        <v>1.1859086152772933E-2</v>
      </c>
      <c r="O645" s="4">
        <f t="shared" si="32"/>
        <v>0.20602678036745156</v>
      </c>
    </row>
    <row r="646" spans="1:15" x14ac:dyDescent="0.3">
      <c r="A646" s="2" t="s">
        <v>884</v>
      </c>
      <c r="B646" s="2" t="s">
        <v>885</v>
      </c>
      <c r="C646" s="2" t="s">
        <v>27</v>
      </c>
      <c r="D646" s="2" t="s">
        <v>33</v>
      </c>
      <c r="E646" s="2" t="s">
        <v>19</v>
      </c>
      <c r="F646" s="2" t="s">
        <v>67</v>
      </c>
      <c r="G646" s="3">
        <v>33839</v>
      </c>
      <c r="H646" s="3">
        <v>10858</v>
      </c>
      <c r="I646" s="3">
        <v>17648</v>
      </c>
      <c r="J646" s="3">
        <v>346</v>
      </c>
      <c r="K646" s="3">
        <v>61</v>
      </c>
      <c r="L646" s="3">
        <v>124</v>
      </c>
      <c r="M646" s="3">
        <f t="shared" si="30"/>
        <v>531</v>
      </c>
      <c r="N646" s="4">
        <f t="shared" si="31"/>
        <v>4.8904033892061154E-2</v>
      </c>
      <c r="O646" s="4">
        <f t="shared" si="32"/>
        <v>0.32087236620467507</v>
      </c>
    </row>
    <row r="647" spans="1:15" x14ac:dyDescent="0.3">
      <c r="A647" s="2" t="s">
        <v>886</v>
      </c>
      <c r="B647" s="2" t="s">
        <v>885</v>
      </c>
      <c r="C647" s="2" t="s">
        <v>45</v>
      </c>
      <c r="D647" s="2" t="s">
        <v>18</v>
      </c>
      <c r="E647" s="2" t="s">
        <v>19</v>
      </c>
      <c r="F647" s="2" t="s">
        <v>25</v>
      </c>
      <c r="G647" s="3">
        <v>25012</v>
      </c>
      <c r="H647" s="3">
        <v>6697</v>
      </c>
      <c r="I647" s="3">
        <v>10083</v>
      </c>
      <c r="J647" s="3">
        <v>118</v>
      </c>
      <c r="K647" s="3">
        <v>13</v>
      </c>
      <c r="L647" s="3">
        <v>32</v>
      </c>
      <c r="M647" s="3">
        <f t="shared" si="30"/>
        <v>163</v>
      </c>
      <c r="N647" s="4">
        <f t="shared" si="31"/>
        <v>2.4339256383455278E-2</v>
      </c>
      <c r="O647" s="4">
        <f t="shared" si="32"/>
        <v>0.26775147928994081</v>
      </c>
    </row>
    <row r="648" spans="1:15" x14ac:dyDescent="0.3">
      <c r="A648" s="2" t="s">
        <v>887</v>
      </c>
      <c r="B648" s="2" t="s">
        <v>885</v>
      </c>
      <c r="C648" s="2" t="s">
        <v>52</v>
      </c>
      <c r="D648" s="2" t="s">
        <v>18</v>
      </c>
      <c r="E648" s="2" t="s">
        <v>34</v>
      </c>
      <c r="F648" s="2" t="s">
        <v>47</v>
      </c>
      <c r="G648" s="3">
        <v>25043</v>
      </c>
      <c r="H648" s="3">
        <v>2620</v>
      </c>
      <c r="I648" s="3">
        <v>3683</v>
      </c>
      <c r="J648" s="3">
        <v>68</v>
      </c>
      <c r="K648" s="3">
        <v>7</v>
      </c>
      <c r="L648" s="3">
        <v>13</v>
      </c>
      <c r="M648" s="3">
        <f t="shared" si="30"/>
        <v>88</v>
      </c>
      <c r="N648" s="4">
        <f t="shared" si="31"/>
        <v>3.3587786259541987E-2</v>
      </c>
      <c r="O648" s="4">
        <f t="shared" si="32"/>
        <v>0.1046200535079663</v>
      </c>
    </row>
    <row r="649" spans="1:15" x14ac:dyDescent="0.3">
      <c r="A649" s="2" t="s">
        <v>888</v>
      </c>
      <c r="B649" s="2" t="s">
        <v>885</v>
      </c>
      <c r="C649" s="2" t="s">
        <v>39</v>
      </c>
      <c r="D649" s="2" t="s">
        <v>23</v>
      </c>
      <c r="E649" s="2" t="s">
        <v>24</v>
      </c>
      <c r="F649" s="2" t="s">
        <v>20</v>
      </c>
      <c r="G649" s="3">
        <v>41687</v>
      </c>
      <c r="H649" s="3">
        <v>4401</v>
      </c>
      <c r="I649" s="3">
        <v>7208</v>
      </c>
      <c r="J649" s="3">
        <v>53</v>
      </c>
      <c r="K649" s="3">
        <v>7</v>
      </c>
      <c r="L649" s="3">
        <v>7</v>
      </c>
      <c r="M649" s="3">
        <f t="shared" si="30"/>
        <v>67</v>
      </c>
      <c r="N649" s="4">
        <f t="shared" si="31"/>
        <v>1.522381276982504E-2</v>
      </c>
      <c r="O649" s="4">
        <f t="shared" si="32"/>
        <v>0.10557248062945283</v>
      </c>
    </row>
    <row r="650" spans="1:15" x14ac:dyDescent="0.3">
      <c r="A650" s="2" t="s">
        <v>889</v>
      </c>
      <c r="B650" s="2" t="s">
        <v>885</v>
      </c>
      <c r="C650" s="2" t="s">
        <v>49</v>
      </c>
      <c r="D650" s="2" t="s">
        <v>28</v>
      </c>
      <c r="E650" s="2" t="s">
        <v>34</v>
      </c>
      <c r="F650" s="2" t="s">
        <v>35</v>
      </c>
      <c r="G650" s="3">
        <v>56717</v>
      </c>
      <c r="H650" s="3">
        <v>25977</v>
      </c>
      <c r="I650" s="3">
        <v>36081</v>
      </c>
      <c r="J650" s="3">
        <v>542</v>
      </c>
      <c r="K650" s="3">
        <v>101</v>
      </c>
      <c r="L650" s="3">
        <v>125</v>
      </c>
      <c r="M650" s="3">
        <f t="shared" si="30"/>
        <v>768</v>
      </c>
      <c r="N650" s="4">
        <f t="shared" si="31"/>
        <v>2.9564614851599492E-2</v>
      </c>
      <c r="O650" s="4">
        <f t="shared" si="32"/>
        <v>0.45801082567836804</v>
      </c>
    </row>
    <row r="651" spans="1:15" x14ac:dyDescent="0.3">
      <c r="A651" s="2" t="s">
        <v>890</v>
      </c>
      <c r="B651" s="2" t="s">
        <v>885</v>
      </c>
      <c r="C651" s="2" t="s">
        <v>52</v>
      </c>
      <c r="D651" s="2" t="s">
        <v>28</v>
      </c>
      <c r="E651" s="2" t="s">
        <v>34</v>
      </c>
      <c r="F651" s="2" t="s">
        <v>25</v>
      </c>
      <c r="G651" s="3">
        <v>56375</v>
      </c>
      <c r="H651" s="3">
        <v>35970</v>
      </c>
      <c r="I651" s="3">
        <v>45521</v>
      </c>
      <c r="J651" s="3">
        <v>988</v>
      </c>
      <c r="K651" s="3">
        <v>197</v>
      </c>
      <c r="L651" s="3">
        <v>177</v>
      </c>
      <c r="M651" s="3">
        <f t="shared" si="30"/>
        <v>1362</v>
      </c>
      <c r="N651" s="4">
        <f t="shared" si="31"/>
        <v>3.7864887406171811E-2</v>
      </c>
      <c r="O651" s="4">
        <f t="shared" si="32"/>
        <v>0.63804878048780489</v>
      </c>
    </row>
    <row r="652" spans="1:15" x14ac:dyDescent="0.3">
      <c r="A652" s="2" t="s">
        <v>891</v>
      </c>
      <c r="B652" s="2" t="s">
        <v>892</v>
      </c>
      <c r="C652" s="2" t="s">
        <v>17</v>
      </c>
      <c r="D652" s="2" t="s">
        <v>33</v>
      </c>
      <c r="E652" s="2" t="s">
        <v>40</v>
      </c>
      <c r="F652" s="2" t="s">
        <v>30</v>
      </c>
      <c r="G652" s="3">
        <v>33254</v>
      </c>
      <c r="H652" s="3">
        <v>9644</v>
      </c>
      <c r="I652" s="3">
        <v>12186</v>
      </c>
      <c r="J652" s="3">
        <v>742</v>
      </c>
      <c r="K652" s="3">
        <v>109</v>
      </c>
      <c r="L652" s="3">
        <v>83</v>
      </c>
      <c r="M652" s="3">
        <f t="shared" si="30"/>
        <v>934</v>
      </c>
      <c r="N652" s="4">
        <f t="shared" si="31"/>
        <v>9.6847781003732897E-2</v>
      </c>
      <c r="O652" s="4">
        <f t="shared" si="32"/>
        <v>0.29001022433391471</v>
      </c>
    </row>
    <row r="653" spans="1:15" x14ac:dyDescent="0.3">
      <c r="A653" s="2" t="s">
        <v>893</v>
      </c>
      <c r="B653" s="2" t="s">
        <v>892</v>
      </c>
      <c r="C653" s="2" t="s">
        <v>43</v>
      </c>
      <c r="D653" s="2" t="s">
        <v>50</v>
      </c>
      <c r="E653" s="2" t="s">
        <v>40</v>
      </c>
      <c r="F653" s="2" t="s">
        <v>30</v>
      </c>
      <c r="G653" s="3">
        <v>13494</v>
      </c>
      <c r="H653" s="3">
        <v>3172</v>
      </c>
      <c r="I653" s="3">
        <v>5227</v>
      </c>
      <c r="J653" s="3">
        <v>84</v>
      </c>
      <c r="K653" s="3">
        <v>9</v>
      </c>
      <c r="L653" s="3">
        <v>32</v>
      </c>
      <c r="M653" s="3">
        <f t="shared" si="30"/>
        <v>125</v>
      </c>
      <c r="N653" s="4">
        <f t="shared" si="31"/>
        <v>3.9407313997477933E-2</v>
      </c>
      <c r="O653" s="4">
        <f t="shared" si="32"/>
        <v>0.23506743737957611</v>
      </c>
    </row>
    <row r="654" spans="1:15" x14ac:dyDescent="0.3">
      <c r="A654" s="2" t="s">
        <v>894</v>
      </c>
      <c r="B654" s="2" t="s">
        <v>895</v>
      </c>
      <c r="C654" s="2" t="s">
        <v>83</v>
      </c>
      <c r="D654" s="2" t="s">
        <v>18</v>
      </c>
      <c r="E654" s="2" t="s">
        <v>24</v>
      </c>
      <c r="F654" s="2" t="s">
        <v>35</v>
      </c>
      <c r="G654" s="3">
        <v>24903</v>
      </c>
      <c r="H654" s="3">
        <v>3323</v>
      </c>
      <c r="I654" s="3">
        <v>3795</v>
      </c>
      <c r="J654" s="3">
        <v>99</v>
      </c>
      <c r="K654" s="3">
        <v>17</v>
      </c>
      <c r="L654" s="3">
        <v>29</v>
      </c>
      <c r="M654" s="3">
        <f t="shared" si="30"/>
        <v>145</v>
      </c>
      <c r="N654" s="4">
        <f t="shared" si="31"/>
        <v>4.3635269334938311E-2</v>
      </c>
      <c r="O654" s="4">
        <f t="shared" si="32"/>
        <v>0.13343773842508935</v>
      </c>
    </row>
    <row r="655" spans="1:15" x14ac:dyDescent="0.3">
      <c r="A655" s="2" t="s">
        <v>896</v>
      </c>
      <c r="B655" s="2" t="s">
        <v>895</v>
      </c>
      <c r="C655" s="2" t="s">
        <v>52</v>
      </c>
      <c r="D655" s="2" t="s">
        <v>50</v>
      </c>
      <c r="E655" s="2" t="s">
        <v>29</v>
      </c>
      <c r="F655" s="2" t="s">
        <v>67</v>
      </c>
      <c r="G655" s="3">
        <v>13147</v>
      </c>
      <c r="H655" s="3">
        <v>3192</v>
      </c>
      <c r="I655" s="3">
        <v>3667</v>
      </c>
      <c r="J655" s="3">
        <v>66</v>
      </c>
      <c r="K655" s="3">
        <v>10</v>
      </c>
      <c r="L655" s="3">
        <v>10</v>
      </c>
      <c r="M655" s="3">
        <f t="shared" si="30"/>
        <v>86</v>
      </c>
      <c r="N655" s="4">
        <f t="shared" si="31"/>
        <v>2.6942355889724309E-2</v>
      </c>
      <c r="O655" s="4">
        <f t="shared" si="32"/>
        <v>0.24279303263101848</v>
      </c>
    </row>
    <row r="656" spans="1:15" x14ac:dyDescent="0.3">
      <c r="A656" s="2" t="s">
        <v>897</v>
      </c>
      <c r="B656" s="2" t="s">
        <v>898</v>
      </c>
      <c r="C656" s="2" t="s">
        <v>17</v>
      </c>
      <c r="D656" s="2" t="s">
        <v>33</v>
      </c>
      <c r="E656" s="2" t="s">
        <v>29</v>
      </c>
      <c r="F656" s="2" t="s">
        <v>79</v>
      </c>
      <c r="G656" s="3">
        <v>33544</v>
      </c>
      <c r="H656" s="3">
        <v>14910</v>
      </c>
      <c r="I656" s="3">
        <v>23787</v>
      </c>
      <c r="J656" s="3">
        <v>365</v>
      </c>
      <c r="K656" s="3">
        <v>40</v>
      </c>
      <c r="L656" s="3">
        <v>83</v>
      </c>
      <c r="M656" s="3">
        <f t="shared" si="30"/>
        <v>488</v>
      </c>
      <c r="N656" s="4">
        <f t="shared" si="31"/>
        <v>3.2729711602951038E-2</v>
      </c>
      <c r="O656" s="4">
        <f t="shared" si="32"/>
        <v>0.44449081803005008</v>
      </c>
    </row>
    <row r="657" spans="1:15" x14ac:dyDescent="0.3">
      <c r="A657" s="2" t="s">
        <v>899</v>
      </c>
      <c r="B657" s="2" t="s">
        <v>898</v>
      </c>
      <c r="C657" s="2" t="s">
        <v>73</v>
      </c>
      <c r="D657" s="2" t="s">
        <v>18</v>
      </c>
      <c r="E657" s="2" t="s">
        <v>34</v>
      </c>
      <c r="F657" s="2" t="s">
        <v>20</v>
      </c>
      <c r="G657" s="3">
        <v>24929</v>
      </c>
      <c r="H657" s="3">
        <v>2503</v>
      </c>
      <c r="I657" s="3">
        <v>3588</v>
      </c>
      <c r="J657" s="3">
        <v>104</v>
      </c>
      <c r="K657" s="3">
        <v>12</v>
      </c>
      <c r="L657" s="3">
        <v>23</v>
      </c>
      <c r="M657" s="3">
        <f t="shared" si="30"/>
        <v>139</v>
      </c>
      <c r="N657" s="4">
        <f t="shared" si="31"/>
        <v>5.5533359968038355E-2</v>
      </c>
      <c r="O657" s="4">
        <f t="shared" si="32"/>
        <v>0.10040515062778291</v>
      </c>
    </row>
    <row r="658" spans="1:15" x14ac:dyDescent="0.3">
      <c r="A658" s="2" t="s">
        <v>900</v>
      </c>
      <c r="B658" s="2" t="s">
        <v>898</v>
      </c>
      <c r="C658" s="2" t="s">
        <v>43</v>
      </c>
      <c r="D658" s="2" t="s">
        <v>28</v>
      </c>
      <c r="E658" s="2" t="s">
        <v>46</v>
      </c>
      <c r="F658" s="2" t="s">
        <v>30</v>
      </c>
      <c r="G658" s="3">
        <v>57284</v>
      </c>
      <c r="H658" s="3">
        <v>47555</v>
      </c>
      <c r="I658" s="3">
        <v>79475</v>
      </c>
      <c r="J658" s="3">
        <v>667</v>
      </c>
      <c r="K658" s="3">
        <v>147</v>
      </c>
      <c r="L658" s="3">
        <v>185</v>
      </c>
      <c r="M658" s="3">
        <f t="shared" si="30"/>
        <v>999</v>
      </c>
      <c r="N658" s="4">
        <f t="shared" si="31"/>
        <v>2.1007254757649037E-2</v>
      </c>
      <c r="O658" s="4">
        <f t="shared" si="32"/>
        <v>0.830161999860345</v>
      </c>
    </row>
    <row r="659" spans="1:15" x14ac:dyDescent="0.3">
      <c r="A659" s="2" t="s">
        <v>901</v>
      </c>
      <c r="B659" s="2" t="s">
        <v>902</v>
      </c>
      <c r="C659" s="2" t="s">
        <v>55</v>
      </c>
      <c r="D659" s="2" t="s">
        <v>18</v>
      </c>
      <c r="E659" s="2" t="s">
        <v>46</v>
      </c>
      <c r="F659" s="2" t="s">
        <v>67</v>
      </c>
      <c r="G659" s="3">
        <v>24445</v>
      </c>
      <c r="H659" s="3">
        <v>4255</v>
      </c>
      <c r="I659" s="3">
        <v>5255</v>
      </c>
      <c r="J659" s="3">
        <v>29</v>
      </c>
      <c r="K659" s="3">
        <v>4</v>
      </c>
      <c r="L659" s="3">
        <v>6</v>
      </c>
      <c r="M659" s="3">
        <f t="shared" si="30"/>
        <v>39</v>
      </c>
      <c r="N659" s="4">
        <f t="shared" si="31"/>
        <v>9.1656874265569916E-3</v>
      </c>
      <c r="O659" s="4">
        <f t="shared" si="32"/>
        <v>0.1740642258130497</v>
      </c>
    </row>
    <row r="660" spans="1:15" x14ac:dyDescent="0.3">
      <c r="A660" s="2" t="s">
        <v>903</v>
      </c>
      <c r="B660" s="2" t="s">
        <v>902</v>
      </c>
      <c r="C660" s="2" t="s">
        <v>73</v>
      </c>
      <c r="D660" s="2" t="s">
        <v>50</v>
      </c>
      <c r="E660" s="2" t="s">
        <v>24</v>
      </c>
      <c r="F660" s="2" t="s">
        <v>35</v>
      </c>
      <c r="G660" s="3">
        <v>13528</v>
      </c>
      <c r="H660" s="3">
        <v>2311</v>
      </c>
      <c r="I660" s="3">
        <v>4127</v>
      </c>
      <c r="J660" s="3">
        <v>61</v>
      </c>
      <c r="K660" s="3">
        <v>9</v>
      </c>
      <c r="L660" s="3">
        <v>24</v>
      </c>
      <c r="M660" s="3">
        <f t="shared" si="30"/>
        <v>94</v>
      </c>
      <c r="N660" s="4">
        <f t="shared" si="31"/>
        <v>4.0675032453483341E-2</v>
      </c>
      <c r="O660" s="4">
        <f t="shared" si="32"/>
        <v>0.17083086930810171</v>
      </c>
    </row>
    <row r="661" spans="1:15" x14ac:dyDescent="0.3">
      <c r="A661" s="2" t="s">
        <v>904</v>
      </c>
      <c r="B661" s="2" t="s">
        <v>902</v>
      </c>
      <c r="C661" s="2" t="s">
        <v>22</v>
      </c>
      <c r="D661" s="2" t="s">
        <v>50</v>
      </c>
      <c r="E661" s="2" t="s">
        <v>46</v>
      </c>
      <c r="F661" s="2" t="s">
        <v>25</v>
      </c>
      <c r="G661" s="3">
        <v>13099</v>
      </c>
      <c r="H661" s="3">
        <v>4537</v>
      </c>
      <c r="I661" s="3">
        <v>7018</v>
      </c>
      <c r="J661" s="3">
        <v>37</v>
      </c>
      <c r="K661" s="3">
        <v>5</v>
      </c>
      <c r="L661" s="3">
        <v>12</v>
      </c>
      <c r="M661" s="3">
        <f t="shared" si="30"/>
        <v>54</v>
      </c>
      <c r="N661" s="4">
        <f t="shared" si="31"/>
        <v>1.1902137976636544E-2</v>
      </c>
      <c r="O661" s="4">
        <f t="shared" si="32"/>
        <v>0.34636231773417819</v>
      </c>
    </row>
    <row r="662" spans="1:15" x14ac:dyDescent="0.3">
      <c r="A662" s="2" t="s">
        <v>905</v>
      </c>
      <c r="B662" s="2" t="s">
        <v>906</v>
      </c>
      <c r="C662" s="2" t="s">
        <v>55</v>
      </c>
      <c r="D662" s="2" t="s">
        <v>28</v>
      </c>
      <c r="E662" s="2" t="s">
        <v>34</v>
      </c>
      <c r="F662" s="2" t="s">
        <v>20</v>
      </c>
      <c r="G662" s="3">
        <v>56795</v>
      </c>
      <c r="H662" s="3">
        <v>35237</v>
      </c>
      <c r="I662" s="3">
        <v>44383</v>
      </c>
      <c r="J662" s="3">
        <v>1041</v>
      </c>
      <c r="K662" s="3">
        <v>93</v>
      </c>
      <c r="L662" s="3">
        <v>223</v>
      </c>
      <c r="M662" s="3">
        <f t="shared" si="30"/>
        <v>1357</v>
      </c>
      <c r="N662" s="4">
        <f t="shared" si="31"/>
        <v>3.8510656412293898E-2</v>
      </c>
      <c r="O662" s="4">
        <f t="shared" si="32"/>
        <v>0.62042433312791623</v>
      </c>
    </row>
    <row r="663" spans="1:15" x14ac:dyDescent="0.3">
      <c r="A663" s="2" t="s">
        <v>907</v>
      </c>
      <c r="B663" s="2" t="s">
        <v>906</v>
      </c>
      <c r="C663" s="2" t="s">
        <v>83</v>
      </c>
      <c r="D663" s="2" t="s">
        <v>28</v>
      </c>
      <c r="E663" s="2" t="s">
        <v>34</v>
      </c>
      <c r="F663" s="2" t="s">
        <v>35</v>
      </c>
      <c r="G663" s="3">
        <v>57761</v>
      </c>
      <c r="H663" s="3">
        <v>47596</v>
      </c>
      <c r="I663" s="3">
        <v>52420</v>
      </c>
      <c r="J663" s="3">
        <v>1222</v>
      </c>
      <c r="K663" s="3">
        <v>187</v>
      </c>
      <c r="L663" s="3">
        <v>219</v>
      </c>
      <c r="M663" s="3">
        <f t="shared" si="30"/>
        <v>1628</v>
      </c>
      <c r="N663" s="4">
        <f t="shared" si="31"/>
        <v>3.4204555004622238E-2</v>
      </c>
      <c r="O663" s="4">
        <f t="shared" si="32"/>
        <v>0.82401620470559722</v>
      </c>
    </row>
    <row r="664" spans="1:15" x14ac:dyDescent="0.3">
      <c r="A664" s="2" t="s">
        <v>908</v>
      </c>
      <c r="B664" s="2" t="s">
        <v>909</v>
      </c>
      <c r="C664" s="2" t="s">
        <v>52</v>
      </c>
      <c r="D664" s="2" t="s">
        <v>33</v>
      </c>
      <c r="E664" s="2" t="s">
        <v>29</v>
      </c>
      <c r="F664" s="2" t="s">
        <v>30</v>
      </c>
      <c r="G664" s="3">
        <v>33737</v>
      </c>
      <c r="H664" s="3">
        <v>10322</v>
      </c>
      <c r="I664" s="3">
        <v>13965</v>
      </c>
      <c r="J664" s="3">
        <v>475</v>
      </c>
      <c r="K664" s="3">
        <v>44</v>
      </c>
      <c r="L664" s="3">
        <v>89</v>
      </c>
      <c r="M664" s="3">
        <f t="shared" si="30"/>
        <v>608</v>
      </c>
      <c r="N664" s="4">
        <f t="shared" si="31"/>
        <v>5.8903313311373766E-2</v>
      </c>
      <c r="O664" s="4">
        <f t="shared" si="32"/>
        <v>0.30595488632658507</v>
      </c>
    </row>
    <row r="665" spans="1:15" x14ac:dyDescent="0.3">
      <c r="A665" s="2" t="s">
        <v>910</v>
      </c>
      <c r="B665" s="2" t="s">
        <v>909</v>
      </c>
      <c r="C665" s="2" t="s">
        <v>49</v>
      </c>
      <c r="D665" s="2" t="s">
        <v>23</v>
      </c>
      <c r="E665" s="2" t="s">
        <v>40</v>
      </c>
      <c r="F665" s="2" t="s">
        <v>25</v>
      </c>
      <c r="G665" s="3">
        <v>42102</v>
      </c>
      <c r="H665" s="3">
        <v>8555</v>
      </c>
      <c r="I665" s="3">
        <v>14247</v>
      </c>
      <c r="J665" s="3">
        <v>557</v>
      </c>
      <c r="K665" s="3">
        <v>96</v>
      </c>
      <c r="L665" s="3">
        <v>162</v>
      </c>
      <c r="M665" s="3">
        <f t="shared" si="30"/>
        <v>815</v>
      </c>
      <c r="N665" s="4">
        <f t="shared" si="31"/>
        <v>9.5265926358854475E-2</v>
      </c>
      <c r="O665" s="4">
        <f t="shared" si="32"/>
        <v>0.20319699776732697</v>
      </c>
    </row>
    <row r="666" spans="1:15" x14ac:dyDescent="0.3">
      <c r="A666" s="2" t="s">
        <v>911</v>
      </c>
      <c r="B666" s="2" t="s">
        <v>909</v>
      </c>
      <c r="C666" s="2" t="s">
        <v>17</v>
      </c>
      <c r="D666" s="2" t="s">
        <v>28</v>
      </c>
      <c r="E666" s="2" t="s">
        <v>34</v>
      </c>
      <c r="F666" s="2" t="s">
        <v>30</v>
      </c>
      <c r="G666" s="3">
        <v>56337</v>
      </c>
      <c r="H666" s="3">
        <v>29901</v>
      </c>
      <c r="I666" s="3">
        <v>33393</v>
      </c>
      <c r="J666" s="3">
        <v>1201</v>
      </c>
      <c r="K666" s="3">
        <v>203</v>
      </c>
      <c r="L666" s="3">
        <v>117</v>
      </c>
      <c r="M666" s="3">
        <f t="shared" si="30"/>
        <v>1521</v>
      </c>
      <c r="N666" s="4">
        <f t="shared" si="31"/>
        <v>5.0867863951038428E-2</v>
      </c>
      <c r="O666" s="4">
        <f t="shared" si="32"/>
        <v>0.53075243623196122</v>
      </c>
    </row>
    <row r="667" spans="1:15" x14ac:dyDescent="0.3">
      <c r="A667" s="2" t="s">
        <v>912</v>
      </c>
      <c r="B667" s="2" t="s">
        <v>913</v>
      </c>
      <c r="C667" s="2" t="s">
        <v>49</v>
      </c>
      <c r="D667" s="2" t="s">
        <v>33</v>
      </c>
      <c r="E667" s="2" t="s">
        <v>29</v>
      </c>
      <c r="F667" s="2" t="s">
        <v>67</v>
      </c>
      <c r="G667" s="3">
        <v>33972</v>
      </c>
      <c r="H667" s="3">
        <v>10881</v>
      </c>
      <c r="I667" s="3">
        <v>13772</v>
      </c>
      <c r="J667" s="3">
        <v>176</v>
      </c>
      <c r="K667" s="3">
        <v>22</v>
      </c>
      <c r="L667" s="3">
        <v>40</v>
      </c>
      <c r="M667" s="3">
        <f t="shared" si="30"/>
        <v>238</v>
      </c>
      <c r="N667" s="4">
        <f t="shared" si="31"/>
        <v>2.1872989614925099E-2</v>
      </c>
      <c r="O667" s="4">
        <f t="shared" si="32"/>
        <v>0.320293182620982</v>
      </c>
    </row>
    <row r="668" spans="1:15" x14ac:dyDescent="0.3">
      <c r="A668" s="2" t="s">
        <v>914</v>
      </c>
      <c r="B668" s="2" t="s">
        <v>913</v>
      </c>
      <c r="C668" s="2" t="s">
        <v>52</v>
      </c>
      <c r="D668" s="2" t="s">
        <v>50</v>
      </c>
      <c r="E668" s="2" t="s">
        <v>34</v>
      </c>
      <c r="F668" s="2" t="s">
        <v>41</v>
      </c>
      <c r="G668" s="3">
        <v>13315</v>
      </c>
      <c r="H668" s="3">
        <v>4193</v>
      </c>
      <c r="I668" s="3">
        <v>4803</v>
      </c>
      <c r="J668" s="3">
        <v>67</v>
      </c>
      <c r="K668" s="3">
        <v>8</v>
      </c>
      <c r="L668" s="3">
        <v>11</v>
      </c>
      <c r="M668" s="3">
        <f t="shared" si="30"/>
        <v>86</v>
      </c>
      <c r="N668" s="4">
        <f t="shared" si="31"/>
        <v>2.0510374433579774E-2</v>
      </c>
      <c r="O668" s="4">
        <f t="shared" si="32"/>
        <v>0.31490799849793466</v>
      </c>
    </row>
    <row r="669" spans="1:15" x14ac:dyDescent="0.3">
      <c r="A669" s="2" t="s">
        <v>915</v>
      </c>
      <c r="B669" s="2" t="s">
        <v>913</v>
      </c>
      <c r="C669" s="2" t="s">
        <v>43</v>
      </c>
      <c r="D669" s="2" t="s">
        <v>50</v>
      </c>
      <c r="E669" s="2" t="s">
        <v>24</v>
      </c>
      <c r="F669" s="2" t="s">
        <v>41</v>
      </c>
      <c r="G669" s="3">
        <v>13183</v>
      </c>
      <c r="H669" s="3">
        <v>3636</v>
      </c>
      <c r="I669" s="3">
        <v>5423</v>
      </c>
      <c r="J669" s="3">
        <v>50</v>
      </c>
      <c r="K669" s="3">
        <v>4</v>
      </c>
      <c r="L669" s="3">
        <v>17</v>
      </c>
      <c r="M669" s="3">
        <f t="shared" si="30"/>
        <v>71</v>
      </c>
      <c r="N669" s="4">
        <f t="shared" si="31"/>
        <v>1.9526952695269526E-2</v>
      </c>
      <c r="O669" s="4">
        <f t="shared" si="32"/>
        <v>0.27580975498748389</v>
      </c>
    </row>
    <row r="670" spans="1:15" x14ac:dyDescent="0.3">
      <c r="A670" s="2" t="s">
        <v>916</v>
      </c>
      <c r="B670" s="2" t="s">
        <v>913</v>
      </c>
      <c r="C670" s="2" t="s">
        <v>55</v>
      </c>
      <c r="D670" s="2" t="s">
        <v>28</v>
      </c>
      <c r="E670" s="2" t="s">
        <v>46</v>
      </c>
      <c r="F670" s="2" t="s">
        <v>67</v>
      </c>
      <c r="G670" s="3">
        <v>57390</v>
      </c>
      <c r="H670" s="3">
        <v>31664</v>
      </c>
      <c r="I670" s="3">
        <v>44319</v>
      </c>
      <c r="J670" s="3">
        <v>542</v>
      </c>
      <c r="K670" s="3">
        <v>93</v>
      </c>
      <c r="L670" s="3">
        <v>180</v>
      </c>
      <c r="M670" s="3">
        <f t="shared" si="30"/>
        <v>815</v>
      </c>
      <c r="N670" s="4">
        <f t="shared" si="31"/>
        <v>2.573900960080849E-2</v>
      </c>
      <c r="O670" s="4">
        <f t="shared" si="32"/>
        <v>0.55173375152465587</v>
      </c>
    </row>
    <row r="671" spans="1:15" x14ac:dyDescent="0.3">
      <c r="A671" s="2" t="s">
        <v>917</v>
      </c>
      <c r="B671" s="2" t="s">
        <v>918</v>
      </c>
      <c r="C671" s="2" t="s">
        <v>52</v>
      </c>
      <c r="D671" s="2" t="s">
        <v>18</v>
      </c>
      <c r="E671" s="2" t="s">
        <v>19</v>
      </c>
      <c r="F671" s="2" t="s">
        <v>30</v>
      </c>
      <c r="G671" s="3">
        <v>24552</v>
      </c>
      <c r="H671" s="3">
        <v>5377</v>
      </c>
      <c r="I671" s="3">
        <v>6168</v>
      </c>
      <c r="J671" s="3">
        <v>282</v>
      </c>
      <c r="K671" s="3">
        <v>43</v>
      </c>
      <c r="L671" s="3">
        <v>59</v>
      </c>
      <c r="M671" s="3">
        <f t="shared" si="30"/>
        <v>384</v>
      </c>
      <c r="N671" s="4">
        <f t="shared" si="31"/>
        <v>7.1415287334945135E-2</v>
      </c>
      <c r="O671" s="4">
        <f t="shared" si="32"/>
        <v>0.21900456174649724</v>
      </c>
    </row>
    <row r="672" spans="1:15" x14ac:dyDescent="0.3">
      <c r="A672" s="2" t="s">
        <v>919</v>
      </c>
      <c r="B672" s="2" t="s">
        <v>918</v>
      </c>
      <c r="C672" s="2" t="s">
        <v>83</v>
      </c>
      <c r="D672" s="2" t="s">
        <v>23</v>
      </c>
      <c r="E672" s="2" t="s">
        <v>24</v>
      </c>
      <c r="F672" s="2" t="s">
        <v>47</v>
      </c>
      <c r="G672" s="3">
        <v>41960</v>
      </c>
      <c r="H672" s="3">
        <v>4165</v>
      </c>
      <c r="I672" s="3">
        <v>4709</v>
      </c>
      <c r="J672" s="3">
        <v>50</v>
      </c>
      <c r="K672" s="3">
        <v>8</v>
      </c>
      <c r="L672" s="3">
        <v>12</v>
      </c>
      <c r="M672" s="3">
        <f t="shared" si="30"/>
        <v>70</v>
      </c>
      <c r="N672" s="4">
        <f t="shared" si="31"/>
        <v>1.680672268907563E-2</v>
      </c>
      <c r="O672" s="4">
        <f t="shared" si="32"/>
        <v>9.9261201143946612E-2</v>
      </c>
    </row>
    <row r="673" spans="1:15" x14ac:dyDescent="0.3">
      <c r="A673" s="2" t="s">
        <v>920</v>
      </c>
      <c r="B673" s="2" t="s">
        <v>918</v>
      </c>
      <c r="C673" s="2" t="s">
        <v>17</v>
      </c>
      <c r="D673" s="2" t="s">
        <v>50</v>
      </c>
      <c r="E673" s="2" t="s">
        <v>19</v>
      </c>
      <c r="F673" s="2" t="s">
        <v>20</v>
      </c>
      <c r="G673" s="3">
        <v>13417</v>
      </c>
      <c r="H673" s="3">
        <v>3471</v>
      </c>
      <c r="I673" s="3">
        <v>4525</v>
      </c>
      <c r="J673" s="3">
        <v>228</v>
      </c>
      <c r="K673" s="3">
        <v>19</v>
      </c>
      <c r="L673" s="3">
        <v>58</v>
      </c>
      <c r="M673" s="3">
        <f t="shared" si="30"/>
        <v>305</v>
      </c>
      <c r="N673" s="4">
        <f t="shared" si="31"/>
        <v>8.7870930567559777E-2</v>
      </c>
      <c r="O673" s="4">
        <f t="shared" si="32"/>
        <v>0.25870164716404559</v>
      </c>
    </row>
    <row r="674" spans="1:15" x14ac:dyDescent="0.3">
      <c r="A674" s="2" t="s">
        <v>921</v>
      </c>
      <c r="B674" s="2" t="s">
        <v>918</v>
      </c>
      <c r="C674" s="2" t="s">
        <v>73</v>
      </c>
      <c r="D674" s="2" t="s">
        <v>28</v>
      </c>
      <c r="E674" s="2" t="s">
        <v>34</v>
      </c>
      <c r="F674" s="2" t="s">
        <v>41</v>
      </c>
      <c r="G674" s="3">
        <v>57213</v>
      </c>
      <c r="H674" s="3">
        <v>50618</v>
      </c>
      <c r="I674" s="3">
        <v>78376</v>
      </c>
      <c r="J674" s="3">
        <v>878</v>
      </c>
      <c r="K674" s="3">
        <v>126</v>
      </c>
      <c r="L674" s="3">
        <v>291</v>
      </c>
      <c r="M674" s="3">
        <f t="shared" si="30"/>
        <v>1295</v>
      </c>
      <c r="N674" s="4">
        <f t="shared" si="31"/>
        <v>2.558378442451302E-2</v>
      </c>
      <c r="O674" s="4">
        <f t="shared" si="32"/>
        <v>0.88472899515844305</v>
      </c>
    </row>
    <row r="675" spans="1:15" x14ac:dyDescent="0.3">
      <c r="A675" s="2" t="s">
        <v>922</v>
      </c>
      <c r="B675" s="2" t="s">
        <v>923</v>
      </c>
      <c r="C675" s="2" t="s">
        <v>17</v>
      </c>
      <c r="D675" s="2" t="s">
        <v>23</v>
      </c>
      <c r="E675" s="2" t="s">
        <v>29</v>
      </c>
      <c r="F675" s="2" t="s">
        <v>35</v>
      </c>
      <c r="G675" s="3">
        <v>42412</v>
      </c>
      <c r="H675" s="3">
        <v>4356</v>
      </c>
      <c r="I675" s="3">
        <v>6176</v>
      </c>
      <c r="J675" s="3">
        <v>190</v>
      </c>
      <c r="K675" s="3">
        <v>14</v>
      </c>
      <c r="L675" s="3">
        <v>75</v>
      </c>
      <c r="M675" s="3">
        <f t="shared" si="30"/>
        <v>279</v>
      </c>
      <c r="N675" s="4">
        <f t="shared" si="31"/>
        <v>6.4049586776859499E-2</v>
      </c>
      <c r="O675" s="4">
        <f t="shared" si="32"/>
        <v>0.10270678109968877</v>
      </c>
    </row>
    <row r="676" spans="1:15" x14ac:dyDescent="0.3">
      <c r="A676" s="2" t="s">
        <v>924</v>
      </c>
      <c r="B676" s="2" t="s">
        <v>923</v>
      </c>
      <c r="C676" s="2" t="s">
        <v>27</v>
      </c>
      <c r="D676" s="2" t="s">
        <v>28</v>
      </c>
      <c r="E676" s="2" t="s">
        <v>40</v>
      </c>
      <c r="F676" s="2" t="s">
        <v>79</v>
      </c>
      <c r="G676" s="3">
        <v>58357</v>
      </c>
      <c r="H676" s="3">
        <v>28848</v>
      </c>
      <c r="I676" s="3">
        <v>39816</v>
      </c>
      <c r="J676" s="3">
        <v>1648</v>
      </c>
      <c r="K676" s="3">
        <v>217</v>
      </c>
      <c r="L676" s="3">
        <v>666</v>
      </c>
      <c r="M676" s="3">
        <f t="shared" si="30"/>
        <v>2531</v>
      </c>
      <c r="N676" s="4">
        <f t="shared" si="31"/>
        <v>8.7735718247365507E-2</v>
      </c>
      <c r="O676" s="4">
        <f t="shared" si="32"/>
        <v>0.49433658344328874</v>
      </c>
    </row>
    <row r="677" spans="1:15" x14ac:dyDescent="0.3">
      <c r="A677" s="2" t="s">
        <v>925</v>
      </c>
      <c r="B677" s="2" t="s">
        <v>926</v>
      </c>
      <c r="C677" s="2" t="s">
        <v>83</v>
      </c>
      <c r="D677" s="2" t="s">
        <v>33</v>
      </c>
      <c r="E677" s="2" t="s">
        <v>19</v>
      </c>
      <c r="F677" s="2" t="s">
        <v>79</v>
      </c>
      <c r="G677" s="3">
        <v>33058</v>
      </c>
      <c r="H677" s="3">
        <v>6215</v>
      </c>
      <c r="I677" s="3">
        <v>7697</v>
      </c>
      <c r="J677" s="3">
        <v>144</v>
      </c>
      <c r="K677" s="3">
        <v>22</v>
      </c>
      <c r="L677" s="3">
        <v>18</v>
      </c>
      <c r="M677" s="3">
        <f t="shared" si="30"/>
        <v>184</v>
      </c>
      <c r="N677" s="4">
        <f t="shared" si="31"/>
        <v>2.9605792437650845E-2</v>
      </c>
      <c r="O677" s="4">
        <f t="shared" si="32"/>
        <v>0.18800290398693206</v>
      </c>
    </row>
    <row r="678" spans="1:15" x14ac:dyDescent="0.3">
      <c r="A678" s="2" t="s">
        <v>927</v>
      </c>
      <c r="B678" s="2" t="s">
        <v>926</v>
      </c>
      <c r="C678" s="2" t="s">
        <v>17</v>
      </c>
      <c r="D678" s="2" t="s">
        <v>23</v>
      </c>
      <c r="E678" s="2" t="s">
        <v>19</v>
      </c>
      <c r="F678" s="2" t="s">
        <v>35</v>
      </c>
      <c r="G678" s="3">
        <v>43306</v>
      </c>
      <c r="H678" s="3">
        <v>3591</v>
      </c>
      <c r="I678" s="3">
        <v>5653</v>
      </c>
      <c r="J678" s="3">
        <v>114</v>
      </c>
      <c r="K678" s="3">
        <v>9</v>
      </c>
      <c r="L678" s="3">
        <v>26</v>
      </c>
      <c r="M678" s="3">
        <f t="shared" si="30"/>
        <v>149</v>
      </c>
      <c r="N678" s="4">
        <f t="shared" si="31"/>
        <v>4.1492620439988859E-2</v>
      </c>
      <c r="O678" s="4">
        <f t="shared" si="32"/>
        <v>8.2921535122153972E-2</v>
      </c>
    </row>
    <row r="679" spans="1:15" x14ac:dyDescent="0.3">
      <c r="A679" s="2" t="s">
        <v>928</v>
      </c>
      <c r="B679" s="2" t="s">
        <v>926</v>
      </c>
      <c r="C679" s="2" t="s">
        <v>22</v>
      </c>
      <c r="D679" s="2" t="s">
        <v>50</v>
      </c>
      <c r="E679" s="2" t="s">
        <v>29</v>
      </c>
      <c r="F679" s="2" t="s">
        <v>20</v>
      </c>
      <c r="G679" s="3">
        <v>13706</v>
      </c>
      <c r="H679" s="3">
        <v>4724</v>
      </c>
      <c r="I679" s="3">
        <v>8495</v>
      </c>
      <c r="J679" s="3">
        <v>241</v>
      </c>
      <c r="K679" s="3">
        <v>17</v>
      </c>
      <c r="L679" s="3">
        <v>51</v>
      </c>
      <c r="M679" s="3">
        <f t="shared" si="30"/>
        <v>309</v>
      </c>
      <c r="N679" s="4">
        <f t="shared" si="31"/>
        <v>6.5410668924640133E-2</v>
      </c>
      <c r="O679" s="4">
        <f t="shared" si="32"/>
        <v>0.34466656938567053</v>
      </c>
    </row>
    <row r="680" spans="1:15" x14ac:dyDescent="0.3">
      <c r="A680" s="2" t="s">
        <v>929</v>
      </c>
      <c r="B680" s="2" t="s">
        <v>930</v>
      </c>
      <c r="C680" s="2" t="s">
        <v>45</v>
      </c>
      <c r="D680" s="2" t="s">
        <v>33</v>
      </c>
      <c r="E680" s="2" t="s">
        <v>24</v>
      </c>
      <c r="F680" s="2" t="s">
        <v>41</v>
      </c>
      <c r="G680" s="3">
        <v>33979</v>
      </c>
      <c r="H680" s="3">
        <v>9033</v>
      </c>
      <c r="I680" s="3">
        <v>12652</v>
      </c>
      <c r="J680" s="3">
        <v>216</v>
      </c>
      <c r="K680" s="3">
        <v>34</v>
      </c>
      <c r="L680" s="3">
        <v>25</v>
      </c>
      <c r="M680" s="3">
        <f t="shared" si="30"/>
        <v>275</v>
      </c>
      <c r="N680" s="4">
        <f t="shared" si="31"/>
        <v>3.0443927820214767E-2</v>
      </c>
      <c r="O680" s="4">
        <f t="shared" si="32"/>
        <v>0.26584066629388742</v>
      </c>
    </row>
    <row r="681" spans="1:15" x14ac:dyDescent="0.3">
      <c r="A681" s="2" t="s">
        <v>931</v>
      </c>
      <c r="B681" s="2" t="s">
        <v>930</v>
      </c>
      <c r="C681" s="2" t="s">
        <v>64</v>
      </c>
      <c r="D681" s="2" t="s">
        <v>18</v>
      </c>
      <c r="E681" s="2" t="s">
        <v>19</v>
      </c>
      <c r="F681" s="2" t="s">
        <v>79</v>
      </c>
      <c r="G681" s="3">
        <v>24793</v>
      </c>
      <c r="H681" s="3">
        <v>5600</v>
      </c>
      <c r="I681" s="3">
        <v>7257</v>
      </c>
      <c r="J681" s="3">
        <v>108</v>
      </c>
      <c r="K681" s="3">
        <v>16</v>
      </c>
      <c r="L681" s="3">
        <v>26</v>
      </c>
      <c r="M681" s="3">
        <f t="shared" si="30"/>
        <v>150</v>
      </c>
      <c r="N681" s="4">
        <f t="shared" si="31"/>
        <v>2.6785714285714284E-2</v>
      </c>
      <c r="O681" s="4">
        <f t="shared" si="32"/>
        <v>0.22587020529988303</v>
      </c>
    </row>
    <row r="682" spans="1:15" x14ac:dyDescent="0.3">
      <c r="A682" s="2" t="s">
        <v>932</v>
      </c>
      <c r="B682" s="2" t="s">
        <v>930</v>
      </c>
      <c r="C682" s="2" t="s">
        <v>22</v>
      </c>
      <c r="D682" s="2" t="s">
        <v>23</v>
      </c>
      <c r="E682" s="2" t="s">
        <v>40</v>
      </c>
      <c r="F682" s="2" t="s">
        <v>30</v>
      </c>
      <c r="G682" s="3">
        <v>42094</v>
      </c>
      <c r="H682" s="3">
        <v>5654</v>
      </c>
      <c r="I682" s="3">
        <v>9711</v>
      </c>
      <c r="J682" s="3">
        <v>311</v>
      </c>
      <c r="K682" s="3">
        <v>44</v>
      </c>
      <c r="L682" s="3">
        <v>86</v>
      </c>
      <c r="M682" s="3">
        <f t="shared" si="30"/>
        <v>441</v>
      </c>
      <c r="N682" s="4">
        <f t="shared" si="31"/>
        <v>7.7997877608772553E-2</v>
      </c>
      <c r="O682" s="4">
        <f t="shared" si="32"/>
        <v>0.13431843018007317</v>
      </c>
    </row>
    <row r="683" spans="1:15" x14ac:dyDescent="0.3">
      <c r="A683" s="2" t="s">
        <v>933</v>
      </c>
      <c r="B683" s="2" t="s">
        <v>930</v>
      </c>
      <c r="C683" s="2" t="s">
        <v>45</v>
      </c>
      <c r="D683" s="2" t="s">
        <v>23</v>
      </c>
      <c r="E683" s="2" t="s">
        <v>29</v>
      </c>
      <c r="F683" s="2" t="s">
        <v>79</v>
      </c>
      <c r="G683" s="3">
        <v>42705</v>
      </c>
      <c r="H683" s="3">
        <v>6305</v>
      </c>
      <c r="I683" s="3">
        <v>11153</v>
      </c>
      <c r="J683" s="3">
        <v>201</v>
      </c>
      <c r="K683" s="3">
        <v>31</v>
      </c>
      <c r="L683" s="3">
        <v>42</v>
      </c>
      <c r="M683" s="3">
        <f t="shared" si="30"/>
        <v>274</v>
      </c>
      <c r="N683" s="4">
        <f t="shared" si="31"/>
        <v>4.3457573354480569E-2</v>
      </c>
      <c r="O683" s="4">
        <f t="shared" si="32"/>
        <v>0.14764079147640791</v>
      </c>
    </row>
    <row r="684" spans="1:15" x14ac:dyDescent="0.3">
      <c r="A684" s="2" t="s">
        <v>934</v>
      </c>
      <c r="B684" s="2" t="s">
        <v>930</v>
      </c>
      <c r="C684" s="2" t="s">
        <v>27</v>
      </c>
      <c r="D684" s="2" t="s">
        <v>28</v>
      </c>
      <c r="E684" s="2" t="s">
        <v>40</v>
      </c>
      <c r="F684" s="2" t="s">
        <v>25</v>
      </c>
      <c r="G684" s="3">
        <v>57559</v>
      </c>
      <c r="H684" s="3">
        <v>25838</v>
      </c>
      <c r="I684" s="3">
        <v>44495</v>
      </c>
      <c r="J684" s="3">
        <v>1330</v>
      </c>
      <c r="K684" s="3">
        <v>147</v>
      </c>
      <c r="L684" s="3">
        <v>206</v>
      </c>
      <c r="M684" s="3">
        <f t="shared" si="30"/>
        <v>1683</v>
      </c>
      <c r="N684" s="4">
        <f t="shared" si="31"/>
        <v>6.5136620481461419E-2</v>
      </c>
      <c r="O684" s="4">
        <f t="shared" si="32"/>
        <v>0.4488959154954047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4"/>
  <sheetViews>
    <sheetView showGridLines="0" zoomScaleNormal="100" workbookViewId="0"/>
  </sheetViews>
  <sheetFormatPr defaultColWidth="8.6640625" defaultRowHeight="14.4" x14ac:dyDescent="0.3"/>
  <cols>
    <col min="2" max="2" width="16" customWidth="1"/>
    <col min="3" max="3" width="10" customWidth="1"/>
    <col min="4" max="4" width="14" customWidth="1"/>
    <col min="5" max="7" width="16" customWidth="1"/>
  </cols>
  <sheetData>
    <row r="2" spans="2:7" ht="17.399999999999999" x14ac:dyDescent="0.3">
      <c r="B2" s="5" t="s">
        <v>935</v>
      </c>
    </row>
    <row r="3" spans="2:7" x14ac:dyDescent="0.3">
      <c r="B3" s="6" t="s">
        <v>936</v>
      </c>
    </row>
    <row r="5" spans="2:7" ht="24.6" x14ac:dyDescent="0.3">
      <c r="B5" s="7" t="s">
        <v>937</v>
      </c>
      <c r="C5" s="7" t="s">
        <v>938</v>
      </c>
      <c r="D5" s="7" t="s">
        <v>939</v>
      </c>
      <c r="E5" s="7" t="s">
        <v>12</v>
      </c>
      <c r="F5" s="7" t="s">
        <v>940</v>
      </c>
    </row>
    <row r="6" spans="2:7" ht="21.75" customHeight="1" x14ac:dyDescent="0.3">
      <c r="B6" s="8">
        <f>COUNTA('Raw Data'!A2:A684)</f>
        <v>683</v>
      </c>
      <c r="C6" s="8">
        <f>SUM('Raw Data'!H2:H684)</f>
        <v>7239089</v>
      </c>
      <c r="D6" s="8">
        <f>SUM('Raw Data'!I2:I684)</f>
        <v>10483336</v>
      </c>
      <c r="E6" s="8">
        <f>SUM('Raw Data'!M2:M684)</f>
        <v>303255</v>
      </c>
      <c r="F6" s="9">
        <f>AVERAGE('Raw Data'!N2:N684)</f>
        <v>4.069096195121253E-2</v>
      </c>
    </row>
    <row r="9" spans="2:7" x14ac:dyDescent="0.3">
      <c r="B9" s="10" t="s">
        <v>941</v>
      </c>
    </row>
    <row r="10" spans="2:7" ht="42" x14ac:dyDescent="0.3">
      <c r="B10" s="11" t="s">
        <v>3</v>
      </c>
      <c r="C10" s="11" t="s">
        <v>942</v>
      </c>
      <c r="D10" s="11" t="s">
        <v>938</v>
      </c>
      <c r="E10" s="11" t="s">
        <v>939</v>
      </c>
      <c r="F10" s="11" t="s">
        <v>12</v>
      </c>
      <c r="G10" s="11" t="s">
        <v>943</v>
      </c>
    </row>
    <row r="11" spans="2:7" x14ac:dyDescent="0.3">
      <c r="B11" s="2" t="s">
        <v>23</v>
      </c>
      <c r="C11" s="2">
        <f>COUNTIF('Raw Data'!$D$2:$D$684,B11)</f>
        <v>129</v>
      </c>
      <c r="D11" s="3">
        <f>SUMIF('Raw Data'!$D$2:$D$684,B11,'Raw Data'!$H$2:$H$684)</f>
        <v>737385</v>
      </c>
      <c r="E11" s="3">
        <f>SUMIF('Raw Data'!$D$2:$D$684,B11,'Raw Data'!$I$2:$I$684)</f>
        <v>1069667</v>
      </c>
      <c r="F11" s="3">
        <f>SUMIF('Raw Data'!$D$2:$D$684,B11,'Raw Data'!$M$2:$M$684)</f>
        <v>28812</v>
      </c>
      <c r="G11" s="4">
        <f>AVERAGEIF('Raw Data'!$D$2:$D$684,B11,'Raw Data'!$N$2:$N$684)</f>
        <v>3.8836450123414877E-2</v>
      </c>
    </row>
    <row r="12" spans="2:7" x14ac:dyDescent="0.3">
      <c r="B12" s="2" t="s">
        <v>33</v>
      </c>
      <c r="C12" s="2">
        <f>COUNTIF('Raw Data'!$D$2:$D$684,B12)</f>
        <v>142</v>
      </c>
      <c r="D12" s="3">
        <f>SUMIF('Raw Data'!$D$2:$D$684,B12,'Raw Data'!$H$2:$H$684)</f>
        <v>1281120</v>
      </c>
      <c r="E12" s="3">
        <f>SUMIF('Raw Data'!$D$2:$D$684,B12,'Raw Data'!$I$2:$I$684)</f>
        <v>1857086</v>
      </c>
      <c r="F12" s="3">
        <f>SUMIF('Raw Data'!$D$2:$D$684,B12,'Raw Data'!$M$2:$M$684)</f>
        <v>55132</v>
      </c>
      <c r="G12" s="4">
        <f>AVERAGEIF('Raw Data'!$D$2:$D$684,B12,'Raw Data'!$N$2:$N$684)</f>
        <v>4.2841992033891073E-2</v>
      </c>
    </row>
    <row r="13" spans="2:7" x14ac:dyDescent="0.3">
      <c r="B13" s="2" t="s">
        <v>50</v>
      </c>
      <c r="C13" s="2">
        <f>COUNTIF('Raw Data'!$D$2:$D$684,B13)</f>
        <v>133</v>
      </c>
      <c r="D13" s="3">
        <f>SUMIF('Raw Data'!$D$2:$D$684,B13,'Raw Data'!$H$2:$H$684)</f>
        <v>377095</v>
      </c>
      <c r="E13" s="3">
        <f>SUMIF('Raw Data'!$D$2:$D$684,B13,'Raw Data'!$I$2:$I$684)</f>
        <v>549416</v>
      </c>
      <c r="F13" s="3">
        <f>SUMIF('Raw Data'!$D$2:$D$684,B13,'Raw Data'!$M$2:$M$684)</f>
        <v>14228</v>
      </c>
      <c r="G13" s="4">
        <f>AVERAGEIF('Raw Data'!$D$2:$D$684,B13,'Raw Data'!$N$2:$N$684)</f>
        <v>3.8146517733451339E-2</v>
      </c>
    </row>
    <row r="14" spans="2:7" x14ac:dyDescent="0.3">
      <c r="B14" s="2" t="s">
        <v>28</v>
      </c>
      <c r="C14" s="2">
        <f>COUNTIF('Raw Data'!$D$2:$D$684,B14)</f>
        <v>144</v>
      </c>
      <c r="D14" s="3">
        <f>SUMIF('Raw Data'!$D$2:$D$684,B14,'Raw Data'!$H$2:$H$684)</f>
        <v>4265653</v>
      </c>
      <c r="E14" s="3">
        <f>SUMIF('Raw Data'!$D$2:$D$684,B14,'Raw Data'!$I$2:$I$684)</f>
        <v>6156840</v>
      </c>
      <c r="F14" s="3">
        <f>SUMIF('Raw Data'!$D$2:$D$684,B14,'Raw Data'!$M$2:$M$684)</f>
        <v>181252</v>
      </c>
      <c r="G14" s="4">
        <f>AVERAGEIF('Raw Data'!$D$2:$D$684,B14,'Raw Data'!$N$2:$N$684)</f>
        <v>4.2114863698612358E-2</v>
      </c>
    </row>
    <row r="15" spans="2:7" x14ac:dyDescent="0.3">
      <c r="B15" s="2" t="s">
        <v>18</v>
      </c>
      <c r="C15" s="2">
        <f>COUNTIF('Raw Data'!$D$2:$D$684,B15)</f>
        <v>135</v>
      </c>
      <c r="D15" s="3">
        <f>SUMIF('Raw Data'!$D$2:$D$684,B15,'Raw Data'!$H$2:$H$684)</f>
        <v>577836</v>
      </c>
      <c r="E15" s="3">
        <f>SUMIF('Raw Data'!$D$2:$D$684,B15,'Raw Data'!$I$2:$I$684)</f>
        <v>850327</v>
      </c>
      <c r="F15" s="3">
        <f>SUMIF('Raw Data'!$D$2:$D$684,B15,'Raw Data'!$M$2:$M$684)</f>
        <v>23831</v>
      </c>
      <c r="G15" s="4">
        <f>AVERAGEIF('Raw Data'!$D$2:$D$684,B15,'Raw Data'!$N$2:$N$684)</f>
        <v>4.1188406272562261E-2</v>
      </c>
    </row>
    <row r="17" spans="2:7" x14ac:dyDescent="0.3">
      <c r="B17" s="10" t="s">
        <v>944</v>
      </c>
    </row>
    <row r="18" spans="2:7" ht="42" x14ac:dyDescent="0.3">
      <c r="B18" s="11" t="s">
        <v>4</v>
      </c>
      <c r="C18" s="11" t="s">
        <v>942</v>
      </c>
      <c r="D18" s="11" t="s">
        <v>938</v>
      </c>
      <c r="E18" s="11" t="s">
        <v>939</v>
      </c>
      <c r="F18" s="11" t="s">
        <v>12</v>
      </c>
      <c r="G18" s="11" t="s">
        <v>943</v>
      </c>
    </row>
    <row r="19" spans="2:7" x14ac:dyDescent="0.3">
      <c r="B19" s="2" t="s">
        <v>29</v>
      </c>
      <c r="C19" s="2">
        <f>COUNTIF('Raw Data'!$E$2:$E$684,B19)</f>
        <v>123</v>
      </c>
      <c r="D19" s="3">
        <f>SUMIF('Raw Data'!$E$2:$E$684,B19,'Raw Data'!$H$2:$H$684)</f>
        <v>1320470</v>
      </c>
      <c r="E19" s="3">
        <f>SUMIF('Raw Data'!$E$2:$E$684,B19,'Raw Data'!$I$2:$I$684)</f>
        <v>1902418</v>
      </c>
      <c r="F19" s="3">
        <f>SUMIF('Raw Data'!$E$2:$E$684,B19,'Raw Data'!$M$2:$M$684)</f>
        <v>60645</v>
      </c>
      <c r="G19" s="4">
        <f>AVERAGEIF('Raw Data'!$E$2:$E$684,B19,'Raw Data'!$N$2:$N$684)</f>
        <v>4.7356974586910815E-2</v>
      </c>
    </row>
    <row r="20" spans="2:7" x14ac:dyDescent="0.3">
      <c r="B20" s="2" t="s">
        <v>34</v>
      </c>
      <c r="C20" s="2">
        <f>COUNTIF('Raw Data'!$E$2:$E$684,B20)</f>
        <v>94</v>
      </c>
      <c r="D20" s="3">
        <f>SUMIF('Raw Data'!$E$2:$E$684,B20,'Raw Data'!$H$2:$H$684)</f>
        <v>1058045</v>
      </c>
      <c r="E20" s="3">
        <f>SUMIF('Raw Data'!$E$2:$E$684,B20,'Raw Data'!$I$2:$I$684)</f>
        <v>1504818</v>
      </c>
      <c r="F20" s="3">
        <f>SUMIF('Raw Data'!$E$2:$E$684,B20,'Raw Data'!$M$2:$M$684)</f>
        <v>40834</v>
      </c>
      <c r="G20" s="4">
        <f>AVERAGEIF('Raw Data'!$E$2:$E$684,B20,'Raw Data'!$N$2:$N$684)</f>
        <v>3.7374009974837356E-2</v>
      </c>
    </row>
    <row r="21" spans="2:7" x14ac:dyDescent="0.3">
      <c r="B21" s="2" t="s">
        <v>46</v>
      </c>
      <c r="C21" s="2">
        <f>COUNTIF('Raw Data'!$E$2:$E$684,B21)</f>
        <v>113</v>
      </c>
      <c r="D21" s="3">
        <f>SUMIF('Raw Data'!$E$2:$E$684,B21,'Raw Data'!$H$2:$H$684)</f>
        <v>1215135</v>
      </c>
      <c r="E21" s="3">
        <f>SUMIF('Raw Data'!$E$2:$E$684,B21,'Raw Data'!$I$2:$I$684)</f>
        <v>1783748</v>
      </c>
      <c r="F21" s="3">
        <f>SUMIF('Raw Data'!$E$2:$E$684,B21,'Raw Data'!$M$2:$M$684)</f>
        <v>30509</v>
      </c>
      <c r="G21" s="4">
        <f>AVERAGEIF('Raw Data'!$E$2:$E$684,B21,'Raw Data'!$N$2:$N$684)</f>
        <v>2.3601610140457644E-2</v>
      </c>
    </row>
    <row r="22" spans="2:7" x14ac:dyDescent="0.3">
      <c r="B22" s="2" t="s">
        <v>40</v>
      </c>
      <c r="C22" s="2">
        <f>COUNTIF('Raw Data'!$E$2:$E$684,B22)</f>
        <v>116</v>
      </c>
      <c r="D22" s="3">
        <f>SUMIF('Raw Data'!$E$2:$E$684,B22,'Raw Data'!$H$2:$H$684)</f>
        <v>1204362</v>
      </c>
      <c r="E22" s="3">
        <f>SUMIF('Raw Data'!$E$2:$E$684,B22,'Raw Data'!$I$2:$I$684)</f>
        <v>1747564</v>
      </c>
      <c r="F22" s="3">
        <f>SUMIF('Raw Data'!$E$2:$E$684,B22,'Raw Data'!$M$2:$M$684)</f>
        <v>80095</v>
      </c>
      <c r="G22" s="4">
        <f>AVERAGEIF('Raw Data'!$E$2:$E$684,B22,'Raw Data'!$N$2:$N$684)</f>
        <v>6.1654485240636422E-2</v>
      </c>
    </row>
    <row r="23" spans="2:7" x14ac:dyDescent="0.3">
      <c r="B23" s="2" t="s">
        <v>24</v>
      </c>
      <c r="C23" s="2">
        <f>COUNTIF('Raw Data'!$E$2:$E$684,B23)</f>
        <v>134</v>
      </c>
      <c r="D23" s="3">
        <f>SUMIF('Raw Data'!$E$2:$E$684,B23,'Raw Data'!$H$2:$H$684)</f>
        <v>1344701</v>
      </c>
      <c r="E23" s="3">
        <f>SUMIF('Raw Data'!$E$2:$E$684,B23,'Raw Data'!$I$2:$I$684)</f>
        <v>1951862</v>
      </c>
      <c r="F23" s="3">
        <f>SUMIF('Raw Data'!$E$2:$E$684,B23,'Raw Data'!$M$2:$M$684)</f>
        <v>36256</v>
      </c>
      <c r="G23" s="4">
        <f>AVERAGEIF('Raw Data'!$E$2:$E$684,B23,'Raw Data'!$N$2:$N$684)</f>
        <v>2.6493621827751852E-2</v>
      </c>
    </row>
    <row r="24" spans="2:7" x14ac:dyDescent="0.3">
      <c r="B24" s="2" t="s">
        <v>19</v>
      </c>
      <c r="C24" s="2">
        <f>COUNTIF('Raw Data'!$E$2:$E$684,B24)</f>
        <v>103</v>
      </c>
      <c r="D24" s="3">
        <f>SUMIF('Raw Data'!$E$2:$E$684,B24,'Raw Data'!$H$2:$H$684)</f>
        <v>1096376</v>
      </c>
      <c r="E24" s="3">
        <f>SUMIF('Raw Data'!$E$2:$E$684,B24,'Raw Data'!$I$2:$I$684)</f>
        <v>1592926</v>
      </c>
      <c r="F24" s="3">
        <f>SUMIF('Raw Data'!$E$2:$E$684,B24,'Raw Data'!$M$2:$M$684)</f>
        <v>54916</v>
      </c>
      <c r="G24" s="4">
        <f>AVERAGEIF('Raw Data'!$E$2:$E$684,B24,'Raw Data'!$N$2:$N$684)</f>
        <v>4.9367132448049848E-2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2"/>
  <sheetViews>
    <sheetView showGridLines="0" tabSelected="1" zoomScaleNormal="100" workbookViewId="0"/>
  </sheetViews>
  <sheetFormatPr defaultColWidth="8.6640625" defaultRowHeight="14.4" x14ac:dyDescent="0.3"/>
  <cols>
    <col min="2" max="2" width="110" customWidth="1"/>
  </cols>
  <sheetData>
    <row r="2" spans="2:2" ht="17.399999999999999" x14ac:dyDescent="0.3">
      <c r="B2" s="5" t="s">
        <v>945</v>
      </c>
    </row>
    <row r="4" spans="2:2" ht="27.75" customHeight="1" x14ac:dyDescent="0.3">
      <c r="B4" s="12" t="s">
        <v>946</v>
      </c>
    </row>
    <row r="5" spans="2:2" ht="27.75" customHeight="1" x14ac:dyDescent="0.3">
      <c r="B5" s="12" t="s">
        <v>947</v>
      </c>
    </row>
    <row r="6" spans="2:2" ht="27.75" customHeight="1" x14ac:dyDescent="0.3">
      <c r="B6" s="12" t="s">
        <v>948</v>
      </c>
    </row>
    <row r="7" spans="2:2" ht="27.75" customHeight="1" x14ac:dyDescent="0.3">
      <c r="B7" s="12" t="s">
        <v>949</v>
      </c>
    </row>
    <row r="8" spans="2:2" ht="27.75" customHeight="1" x14ac:dyDescent="0.3">
      <c r="B8" s="12" t="s">
        <v>950</v>
      </c>
    </row>
    <row r="9" spans="2:2" ht="27.75" customHeight="1" x14ac:dyDescent="0.3">
      <c r="B9" s="12" t="s">
        <v>951</v>
      </c>
    </row>
    <row r="10" spans="2:2" ht="27.75" customHeight="1" x14ac:dyDescent="0.3">
      <c r="B10" s="12" t="s">
        <v>952</v>
      </c>
    </row>
    <row r="11" spans="2:2" ht="27.75" customHeight="1" x14ac:dyDescent="0.3">
      <c r="B11" s="12" t="s">
        <v>953</v>
      </c>
    </row>
    <row r="12" spans="2:2" ht="27.75" customHeight="1" x14ac:dyDescent="0.3">
      <c r="B12" s="12" t="s">
        <v>954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naseem akthar</cp:lastModifiedBy>
  <cp:revision>1</cp:revision>
  <dcterms:created xsi:type="dcterms:W3CDTF">2026-08-14T17:23:38Z</dcterms:created>
  <dcterms:modified xsi:type="dcterms:W3CDTF">2026-08-14T17:46:27Z</dcterms:modified>
  <dc:language>en-US</dc:language>
</cp:coreProperties>
</file>